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Istruzioni" sheetId="1" r:id="rId1"/>
    <sheet name="Dashboard" sheetId="2" r:id="rId2"/>
    <sheet name="Calendario disponibilità" sheetId="3" r:id="rId3"/>
    <sheet name="Listino e regole" sheetId="4" r:id="rId4"/>
    <sheet name="Clienti" sheetId="5" r:id="rId5"/>
    <sheet name="Attività" sheetId="6" r:id="rId6"/>
    <sheet name="Prenotazioni" sheetId="7" r:id="rId7"/>
    <sheet name="Risorse" sheetId="8" r:id="rId8"/>
    <sheet name="Preventivi" sheetId="9" r:id="rId9"/>
    <sheet name="Pagamenti" sheetId="10" r:id="rId10"/>
    <sheet name="Fornitori" sheetId="11" r:id="rId11"/>
    <sheet name="Spese" sheetId="12" r:id="rId12"/>
    <sheet name="Documenti" sheetId="13" r:id="rId13"/>
    <sheet name="Beni e attrezzature" sheetId="14" r:id="rId14"/>
    <sheet name="Manutenzioni" sheetId="15" r:id="rId15"/>
    <sheet name="Richieste dal sito" sheetId="16" r:id="rId16"/>
    <sheet name="Check-in" sheetId="17" r:id="rId17"/>
    <sheet name="Cassa giornaliera" sheetId="18" r:id="rId18"/>
  </sheets>
  <calcPr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€ #,##0.00"/>
    <numFmt numFmtId="165" formatCode="dd/mm/yyyy"/>
    <numFmt numFmtId="166" formatCode="dd/mm/yyyy hh:mm"/>
    <numFmt numFmtId="167" formatCode="0%"/>
  </numFmts>
  <fonts count="5">
    <font>
      <sz val="11"/>
      <name val="Aptos"/>
    </font>
    <font>
      <b/>
      <color rgb="FFFFFFFF"/>
      <sz val="11"/>
      <name val="Aptos"/>
    </font>
    <font>
      <b/>
      <color rgb="FFFFFFFF"/>
      <sz val="18"/>
      <name val="Aptos Display"/>
    </font>
    <font>
      <b/>
      <color rgb="FF171815"/>
      <sz val="20"/>
      <name val="Aptos Display"/>
    </font>
    <font>
      <i/>
      <color rgb="FF6F716B"/>
      <sz val="10"/>
      <name val="Aptos"/>
    </font>
  </fonts>
  <fills count="8">
    <fill>
      <patternFill patternType="none"/>
    </fill>
    <fill>
      <patternFill patternType="gray125"/>
    </fill>
    <fill>
      <patternFill patternType="solid">
        <fgColor rgb="FF171815"/>
        <bgColor indexed="64"/>
      </patternFill>
    </fill>
    <fill>
      <patternFill patternType="solid">
        <fgColor rgb="FFFF6B35"/>
        <bgColor indexed="64"/>
      </patternFill>
    </fill>
    <fill>
      <patternFill patternType="solid">
        <fgColor rgb="FFF4F1EA"/>
        <bgColor indexed="64"/>
      </patternFill>
    </fill>
    <fill>
      <patternFill patternType="solid">
        <fgColor rgb="FFE8F5ED"/>
        <bgColor indexed="64"/>
      </patternFill>
    </fill>
    <fill>
      <patternFill patternType="solid">
        <fgColor rgb="FFFFE8E2"/>
        <bgColor indexed="64"/>
      </patternFill>
    </fill>
    <fill>
      <patternFill patternType="solid">
        <fgColor rgb="FFFFF3D6"/>
        <bgColor indexed="64"/>
      </patternFill>
    </fill>
  </fills>
  <borders count="3">
    <border>
      <left/>
      <right/>
      <top/>
      <bottom/>
      <diagonal/>
    </border>
    <border>
      <left style="thin">
        <color rgb="FFD8D5CD"/>
      </left>
      <right style="thin">
        <color rgb="FFD8D5CD"/>
      </right>
      <top style="thin">
        <color rgb="FFD8D5CD"/>
      </top>
      <bottom style="thin">
        <color rgb="FFD8D5CD"/>
      </bottom>
      <diagonal/>
    </border>
    <border>
      <left/>
      <right/>
      <top/>
      <bottom style="medium">
        <color rgb="FF171815"/>
      </bottom>
      <diagonal/>
    </border>
  </borders>
  <cellStyleXfs count="1">
    <xf numFmtId="0" fontId="0" fillId="0" borderId="0"/>
  </cellStyleXfs>
  <cellXfs count="17">
    <xf numFmtId="0" fontId="0" fillId="0" borderId="1" xfId="0" applyBorder="1" applyAlignment="1">
      <alignment vertical="center" wrapText="1"/>
    </xf>
    <xf numFmtId="0" fontId="2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/>
    </xf>
    <xf numFmtId="0" fontId="4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3">
    <dxf>
      <fill>
        <patternFill patternType="solid">
          <fgColor rgb="FFE8F5ED"/>
          <bgColor indexed="64"/>
        </patternFill>
      </fill>
      <font>
        <color rgb="FF157347"/>
        <b/>
      </font>
    </dxf>
    <dxf>
      <fill>
        <patternFill patternType="solid">
          <fgColor rgb="FFFFE8E2"/>
          <bgColor indexed="64"/>
        </patternFill>
      </fill>
      <font>
        <color rgb="FFB42318"/>
        <b/>
      </font>
    </dxf>
    <dxf>
      <fill>
        <patternFill patternType="solid">
          <fgColor rgb="FFFFF3D6"/>
          <bgColor indexed="64"/>
        </patternFill>
      </fill>
      <font>
        <color rgb="FF8A5B00"/>
        <b/>
      </font>
    </dxf>
  </d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22"/>
  <sheetViews>
    <sheetView showGridLines="0" workbookViewId="0"/>
  </sheetViews>
  <sheetFormatPr defaultRowHeight="18"/>
  <cols>
    <col min="1" max="1" width="4" customWidth="1"/>
    <col min="2" max="2" width="27" customWidth="1"/>
    <col min="3" max="7" width="18" customWidth="1"/>
  </cols>
  <sheetData>
    <row r="1" ht="28" customHeight="1">
      <c r="A1" t="inlineStr" s="1">
        <is>
          <t xml:space="preserve">Borgo Marina · Modello operativo</t>
        </is>
      </c>
    </row>
    <row r="4" ht="22" customHeight="1">
      <c r="A4" t="inlineStr" s="2">
        <is>
          <t xml:space="preserve">COME USARE QUESTO FILE</t>
        </is>
      </c>
    </row>
    <row r="6" ht="28" customHeight="1">
      <c r="A6" t="inlineStr" s="3">
        <is>
          <t xml:space="preserve">1</t>
        </is>
      </c>
      <c r="B6" t="inlineStr" s="15">
        <is>
          <t xml:space="preserve">Lavora sulle copie</t>
        </is>
      </c>
      <c r="C6" t="inlineStr" s="8">
        <is>
          <t xml:space="preserve">Conserva questo file come modello e crea una copia per ogni importazione importante.</t>
        </is>
      </c>
    </row>
    <row r="7" ht="28" customHeight="1">
      <c r="A7" t="inlineStr" s="3">
        <is>
          <t xml:space="preserve">2</t>
        </is>
      </c>
      <c r="B7" t="inlineStr" s="15">
        <is>
          <t xml:space="preserve">Non cambiare le intestazioni</t>
        </is>
      </c>
      <c r="C7" t="inlineStr" s="8">
        <is>
          <t xml:space="preserve">La prima riga operativa di ogni foglio corrisponde ai campi del gestionale.</t>
        </is>
      </c>
    </row>
    <row r="8" ht="28" customHeight="1">
      <c r="A8" t="inlineStr" s="3">
        <is>
          <t xml:space="preserve">3</t>
        </is>
      </c>
      <c r="B8" t="inlineStr" s="15">
        <is>
          <t xml:space="preserve">Usa filtri e menu</t>
        </is>
      </c>
      <c r="C8" t="inlineStr" s="8">
        <is>
          <t xml:space="preserve">Le colonne con valori predefiniti contengono menu a tendina e controlli.</t>
        </is>
      </c>
    </row>
    <row r="9" ht="28" customHeight="1">
      <c r="A9" t="inlineStr" s="3">
        <is>
          <t xml:space="preserve">4</t>
        </is>
      </c>
      <c r="B9" t="inlineStr" s="15">
        <is>
          <t xml:space="preserve">Controlla il calendario</t>
        </is>
      </c>
      <c r="C9" t="inlineStr" s="8">
        <is>
          <t xml:space="preserve">Quando presenti, disponibilità e occupazioni si leggono nel foglio dedicato.</t>
        </is>
      </c>
    </row>
    <row r="10" ht="28" customHeight="1">
      <c r="A10" t="inlineStr" s="3">
        <is>
          <t xml:space="preserve">5</t>
        </is>
      </c>
      <c r="B10" t="inlineStr" s="15">
        <is>
          <t xml:space="preserve">Importa dal gestionale</t>
        </is>
      </c>
      <c r="C10" t="inlineStr" s="8">
        <is>
          <t xml:space="preserve">Esporta CSV/XLS dal gestionale, aggiorna i dati e reimporta mantenendo le colonne.</t>
        </is>
      </c>
    </row>
    <row r="11" ht="28" customHeight="1">
      <c r="A11" t="inlineStr" s="3">
        <is>
          <t xml:space="preserve">6</t>
        </is>
      </c>
      <c r="B11" t="inlineStr" s="15">
        <is>
          <t xml:space="preserve">Prima della consegna</t>
        </is>
      </c>
      <c r="C11" t="inlineStr" s="8">
        <is>
          <t xml:space="preserve">Elimina le righe dimostrative e verifica formule, ruoli, backup e portale.</t>
        </is>
      </c>
    </row>
    <row r="17" ht="22" customHeight="1">
      <c r="A17" t="inlineStr" s="2">
        <is>
          <t xml:space="preserve">DATI DEL PROGETTO</t>
        </is>
      </c>
    </row>
    <row r="19">
      <c r="A19" t="inlineStr" s="10">
        <is>
          <t xml:space="preserve">Azienda</t>
        </is>
      </c>
      <c r="B19" t="inlineStr" s="15">
        <is>
          <t xml:space="preserve">Borgo Marina</t>
        </is>
      </c>
    </row>
    <row r="20">
      <c r="A20" t="inlineStr" s="10">
        <is>
          <t xml:space="preserve">Settore</t>
        </is>
      </c>
      <c r="B20" t="inlineStr" s="15">
        <is>
          <t xml:space="preserve">Ospitalità e servizi</t>
        </is>
      </c>
    </row>
    <row r="21">
      <c r="A21" t="inlineStr" s="10">
        <is>
          <t xml:space="preserve">Email titolare</t>
        </is>
      </c>
      <c r="B21" t="inlineStr" s="15">
        <is>
          <t xml:space="preserve">direzione@borgomarina.example</t>
        </is>
      </c>
    </row>
    <row r="22">
      <c r="A22" t="inlineStr" s="10">
        <is>
          <t xml:space="preserve">Pacchetto software</t>
        </is>
      </c>
      <c r="B22" t="inlineStr" s="15">
        <is>
          <t xml:space="preserve">€194.40 una tantum</t>
        </is>
      </c>
    </row>
  </sheetData>
  <mergeCells count="13">
    <mergeCell ref="A1:G2"/>
    <mergeCell ref="A4:G4"/>
    <mergeCell ref="A17:G17"/>
    <mergeCell ref="C6:G6"/>
    <mergeCell ref="C7:G7"/>
    <mergeCell ref="C8:G8"/>
    <mergeCell ref="C9:G9"/>
    <mergeCell ref="C10:G10"/>
    <mergeCell ref="C11:G11"/>
    <mergeCell ref="B19:D19"/>
    <mergeCell ref="B20:D20"/>
    <mergeCell ref="B21:D21"/>
    <mergeCell ref="B22:D22"/>
  </mergeCells>
  <pageMargins left="0.3" right="0.3" top="0.5" bottom="0.5" header="0.2" footer="0.2"/>
</worksheet>
</file>

<file path=xl/worksheets/sheet2.xml><?xml version="1.0" encoding="utf-8"?>
<worksheet xmlns="http://schemas.openxmlformats.org/spreadsheetml/2006/main">
  <dimension ref="A1:H26"/>
  <sheetViews>
    <sheetView showGridLines="0" workbookViewId="0">
      <pane ySplit="8" topLeftCell="A9" activePane="bottomLeft" state="frozen"/>
    </sheetView>
  </sheetViews>
  <sheetFormatPr defaultRowHeight="18"/>
  <cols>
    <col min="1" max="1" width="25" customWidth="1"/>
    <col min="2" max="2" width="15" customWidth="1"/>
    <col min="3" max="8" width="17" customWidth="1"/>
  </cols>
  <sheetData>
    <row r="1" ht="30" customHeight="1">
      <c r="A1" t="inlineStr" s="1">
        <is>
          <t xml:space="preserve">Borgo Marina</t>
        </is>
      </c>
    </row>
    <row r="4" ht="22" customHeight="1">
      <c r="A4" t="inlineStr" s="10">
        <is>
          <t xml:space="preserve">SEZIONI OPERATIVE</t>
        </is>
      </c>
      <c r="C4" t="inlineStr" s="10">
        <is>
          <t xml:space="preserve">MODULI ATTIVI</t>
        </is>
      </c>
      <c r="E4" t="inlineStr" s="10">
        <is>
          <t xml:space="preserve">VALORE SOFTWARE</t>
        </is>
      </c>
      <c r="G4" t="inlineStr" s="10">
        <is>
          <t xml:space="preserve">STATO PROGETTO</t>
        </is>
      </c>
    </row>
    <row r="5" ht="30" customHeight="1">
      <c r="A5" s="9">
        <v>14</v>
      </c>
      <c r="C5" s="9">
        <v>13</v>
      </c>
      <c r="E5" s="4">
        <v>194.4</v>
      </c>
      <c r="G5" t="inlineStr" s="12">
        <is>
          <t xml:space="preserve">Pronto per il collaudo</t>
        </is>
      </c>
    </row>
    <row r="7" ht="22" customHeight="1">
      <c r="A7" t="inlineStr" s="2">
        <is>
          <t xml:space="preserve">RIEPILOGO DATI</t>
        </is>
      </c>
    </row>
    <row r="8" ht="22" customHeight="1">
      <c r="A8" t="inlineStr" s="3">
        <is>
          <t xml:space="preserve">Sezione</t>
        </is>
      </c>
      <c r="B8" t="inlineStr" s="3">
        <is>
          <t xml:space="preserve">Righe compilate</t>
        </is>
      </c>
      <c r="C8" t="inlineStr" s="3">
        <is>
          <t xml:space="preserve">Uso operativo</t>
        </is>
      </c>
      <c r="D8" t="inlineStr" s="3">
        <is>
          <t xml:space="preserve">Ultimo controllo</t>
        </is>
      </c>
    </row>
    <row r="9">
      <c r="A9" t="inlineStr" s="15">
        <is>
          <t xml:space="preserve">Clienti</t>
        </is>
      </c>
      <c r="B9" s="16">
        <f>MAX(COUNTA('Clienti'!A:A)-3,0)</f>
        <v>0</v>
      </c>
      <c r="C9" t="inlineStr" s="8">
        <is>
          <t xml:space="preserve">Nome / Ragione sociale · Email · Telefono</t>
        </is>
      </c>
      <c r="D9" t="inlineStr" s="14">
        <is>
          <t xml:space="preserve">Da verificare</t>
        </is>
      </c>
    </row>
    <row r="10">
      <c r="A10" t="inlineStr" s="15">
        <is>
          <t xml:space="preserve">Attività</t>
        </is>
      </c>
      <c r="B10" s="16">
        <f>MAX(COUNTA('Attività'!A:A)-3,0)</f>
        <v>0</v>
      </c>
      <c r="C10" t="inlineStr" s="8">
        <is>
          <t xml:space="preserve">Titolo · Stato · Priorità</t>
        </is>
      </c>
      <c r="D10" t="inlineStr" s="14">
        <is>
          <t xml:space="preserve">Da verificare</t>
        </is>
      </c>
    </row>
    <row r="11">
      <c r="A11" t="inlineStr" s="15">
        <is>
          <t xml:space="preserve">Prenotazioni</t>
        </is>
      </c>
      <c r="B11" s="16">
        <f>MAX(COUNTA('Prenotazioni'!A:A)-3,0)</f>
        <v>0</v>
      </c>
      <c r="C11" t="inlineStr" s="8">
        <is>
          <t xml:space="preserve">Cliente · Inizio · Fine</t>
        </is>
      </c>
      <c r="D11" t="inlineStr" s="14">
        <is>
          <t xml:space="preserve">Da verificare</t>
        </is>
      </c>
    </row>
    <row r="12">
      <c r="A12" t="inlineStr" s="15">
        <is>
          <t xml:space="preserve">Risorse</t>
        </is>
      </c>
      <c r="B12" s="16">
        <f>MAX(COUNTA('Risorse'!A:A)-3,0)</f>
        <v>0</v>
      </c>
      <c r="C12" t="inlineStr" s="8">
        <is>
          <t xml:space="preserve">Nome · Categoria · Capacità</t>
        </is>
      </c>
      <c r="D12" t="inlineStr" s="14">
        <is>
          <t xml:space="preserve">Da verificare</t>
        </is>
      </c>
    </row>
    <row r="13">
      <c r="A13" t="inlineStr" s="15">
        <is>
          <t xml:space="preserve">Preventivi</t>
        </is>
      </c>
      <c r="B13" s="16">
        <f>MAX(COUNTA('Preventivi'!A:A)-3,0)</f>
        <v>0</v>
      </c>
      <c r="C13" t="inlineStr" s="8">
        <is>
          <t xml:space="preserve">Numero · Cliente · Data</t>
        </is>
      </c>
      <c r="D13" t="inlineStr" s="14">
        <is>
          <t xml:space="preserve">Da verificare</t>
        </is>
      </c>
    </row>
    <row r="14">
      <c r="A14" t="inlineStr" s="15">
        <is>
          <t xml:space="preserve">Pagamenti</t>
        </is>
      </c>
      <c r="B14" s="16">
        <f>MAX(COUNTA('Pagamenti'!A:A)-3,0)</f>
        <v>0</v>
      </c>
      <c r="C14" t="inlineStr" s="8">
        <is>
          <t xml:space="preserve">Cliente · Data · Importo</t>
        </is>
      </c>
      <c r="D14" t="inlineStr" s="14">
        <is>
          <t xml:space="preserve">Da verificare</t>
        </is>
      </c>
    </row>
    <row r="15">
      <c r="A15" t="inlineStr" s="15">
        <is>
          <t xml:space="preserve">Fornitori</t>
        </is>
      </c>
      <c r="B15" s="16">
        <f>MAX(COUNTA('Fornitori'!A:A)-3,0)</f>
        <v>0</v>
      </c>
      <c r="C15" t="inlineStr" s="8">
        <is>
          <t xml:space="preserve">Ragione sociale · Referente · Email</t>
        </is>
      </c>
      <c r="D15" t="inlineStr" s="14">
        <is>
          <t xml:space="preserve">Da verificare</t>
        </is>
      </c>
    </row>
    <row r="16">
      <c r="A16" t="inlineStr" s="15">
        <is>
          <t xml:space="preserve">Spese</t>
        </is>
      </c>
      <c r="B16" s="16">
        <f>MAX(COUNTA('Spese'!A:A)-3,0)</f>
        <v>0</v>
      </c>
      <c r="C16" t="inlineStr" s="8">
        <is>
          <t xml:space="preserve">Descrizione · Fornitore · Data</t>
        </is>
      </c>
      <c r="D16" t="inlineStr" s="14">
        <is>
          <t xml:space="preserve">Da verificare</t>
        </is>
      </c>
    </row>
    <row r="17">
      <c r="A17" t="inlineStr" s="15">
        <is>
          <t xml:space="preserve">Documenti</t>
        </is>
      </c>
      <c r="B17" s="16">
        <f>MAX(COUNTA('Documenti'!A:A)-3,0)</f>
        <v>0</v>
      </c>
      <c r="C17" t="inlineStr" s="8">
        <is>
          <t xml:space="preserve">Nome · Categoria · Scadenza</t>
        </is>
      </c>
      <c r="D17" t="inlineStr" s="14">
        <is>
          <t xml:space="preserve">Da verificare</t>
        </is>
      </c>
    </row>
    <row r="18">
      <c r="A18" t="inlineStr" s="15">
        <is>
          <t xml:space="preserve">Beni e attrezzature</t>
        </is>
      </c>
      <c r="B18" s="16">
        <f>MAX(COUNTA('Beni e attrezzature'!A:A)-3,0)</f>
        <v>0</v>
      </c>
      <c r="C18" t="inlineStr" s="8">
        <is>
          <t xml:space="preserve">Nome · Codice · Categoria</t>
        </is>
      </c>
      <c r="D18" t="inlineStr" s="14">
        <is>
          <t xml:space="preserve">Da verificare</t>
        </is>
      </c>
    </row>
    <row r="19">
      <c r="A19" t="inlineStr" s="15">
        <is>
          <t xml:space="preserve">Manutenzioni</t>
        </is>
      </c>
      <c r="B19" s="16">
        <f>MAX(COUNTA('Manutenzioni'!A:A)-3,0)</f>
        <v>0</v>
      </c>
      <c r="C19" t="inlineStr" s="8">
        <is>
          <t xml:space="preserve">Bene · Data · Tipo</t>
        </is>
      </c>
      <c r="D19" t="inlineStr" s="14">
        <is>
          <t xml:space="preserve">Da verificare</t>
        </is>
      </c>
    </row>
    <row r="20">
      <c r="A20" t="inlineStr" s="15">
        <is>
          <t xml:space="preserve">Richieste dal sito</t>
        </is>
      </c>
      <c r="B20" s="16">
        <f>MAX(COUNTA('Richieste dal sito'!A:A)-3,0)</f>
        <v>0</v>
      </c>
      <c r="C20" t="inlineStr" s="8">
        <is>
          <t xml:space="preserve">Tipo richiesta · Nome · Email</t>
        </is>
      </c>
      <c r="D20" t="inlineStr" s="14">
        <is>
          <t xml:space="preserve">Da verificare</t>
        </is>
      </c>
    </row>
    <row r="21">
      <c r="A21" t="inlineStr" s="15">
        <is>
          <t xml:space="preserve">Check-in</t>
        </is>
      </c>
      <c r="B21" s="16">
        <f>MAX(COUNTA('Check-in'!A:A)-3,0)</f>
        <v>0</v>
      </c>
      <c r="C21" t="inlineStr" s="8">
        <is>
          <t xml:space="preserve">Ospite · Prenotazione · Arrivo</t>
        </is>
      </c>
      <c r="D21" t="inlineStr" s="14">
        <is>
          <t xml:space="preserve">Da verificare</t>
        </is>
      </c>
    </row>
    <row r="22">
      <c r="A22" t="inlineStr" s="15">
        <is>
          <t xml:space="preserve">Cassa giornaliera</t>
        </is>
      </c>
      <c r="B22" s="16">
        <f>MAX(COUNTA('Cassa giornaliera'!A:A)-3,0)</f>
        <v>0</v>
      </c>
      <c r="C22" t="inlineStr" s="8">
        <is>
          <t xml:space="preserve">Data · Descrizione · Categoria</t>
        </is>
      </c>
      <c r="D22" t="inlineStr" s="14">
        <is>
          <t xml:space="preserve">Da verificare</t>
        </is>
      </c>
    </row>
    <row r="25" ht="22" customHeight="1">
      <c r="A25" t="inlineStr" s="2">
        <is>
          <t xml:space="preserve">CONTROLLO ECONOMICO</t>
        </is>
      </c>
    </row>
    <row r="27">
      <c r="A27" t="inlineStr" s="10">
        <is>
          <t xml:space="preserve">Pagamenti registrati</t>
        </is>
      </c>
      <c r="B27" s="4">
        <f>SUM('Pagamenti'!C4:C1000)</f>
        <v>0</v>
      </c>
    </row>
    <row r="28">
      <c r="A28" t="inlineStr" s="10">
        <is>
          <t xml:space="preserve">Spese registrate</t>
        </is>
      </c>
      <c r="B28" s="4">
        <f>SUM('Spese'!E4:E1000)</f>
        <v>0</v>
      </c>
    </row>
    <row r="29">
      <c r="A29" t="inlineStr" s="10">
        <is>
          <t xml:space="preserve">Preventivi</t>
        </is>
      </c>
      <c r="B29" s="4">
        <f>SUM('Preventivi'!F4:F1000)</f>
        <v>0</v>
      </c>
    </row>
  </sheetData>
  <autoFilter ref="A8:D22"/>
  <mergeCells count="7">
    <mergeCell ref="A1:H2"/>
    <mergeCell ref="A4:B4"/>
    <mergeCell ref="C4:D4"/>
    <mergeCell ref="E4:F4"/>
    <mergeCell ref="G4:H4"/>
    <mergeCell ref="A7:H7"/>
    <mergeCell ref="A25:H25"/>
  </mergeCells>
  <pageMargins left="0.3" right="0.3" top="0.5" bottom="0.5" header="0.2" footer="0.2"/>
</worksheet>
</file>

<file path=xl/worksheets/sheet3.xml><?xml version="1.0" encoding="utf-8"?>
<worksheet xmlns="http://schemas.openxmlformats.org/spreadsheetml/2006/main">
  <dimension ref="A1:AF35"/>
  <sheetViews>
    <sheetView showGridLines="0" workbookViewId="0">
      <pane xSplit="1" ySplit="7" topLeftCell="B8" activePane="bottomRight" state="frozen"/>
    </sheetView>
  </sheetViews>
  <sheetFormatPr defaultRowHeight="18"/>
  <cols>
    <col min="1" max="1" width="22" customWidth="1"/>
    <col min="2" max="32" width="8.5" customWidth="1"/>
  </cols>
  <sheetData>
    <row r="1" ht="30" customHeight="1">
      <c r="A1" t="inlineStr" s="1">
        <is>
          <t xml:space="preserve">Borgo Marina · Calendario disponibilità</t>
        </is>
      </c>
    </row>
    <row r="4" ht="24" customHeight="1">
      <c r="A4" t="inlineStr" s="8">
        <is>
          <t xml:space="preserve">Cambia il mese in B5. Le celle verdi indicano disponibilità; le rosse un’occupazione registrata.</t>
        </is>
      </c>
    </row>
    <row r="5">
      <c r="A5" t="inlineStr" s="3">
        <is>
          <t xml:space="preserve">Mese</t>
        </is>
      </c>
      <c r="B5" s="5">
        <v>46235</v>
      </c>
    </row>
    <row r="7" ht="22" customHeight="1">
      <c r="A7" t="inlineStr" s="3">
        <is>
          <t xml:space="preserve">Risorsa</t>
        </is>
      </c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  <c r="M7" s="3">
        <v>12</v>
      </c>
      <c r="N7" s="3">
        <v>13</v>
      </c>
      <c r="O7" s="3">
        <v>14</v>
      </c>
      <c r="P7" s="3">
        <v>15</v>
      </c>
      <c r="Q7" s="3">
        <v>16</v>
      </c>
      <c r="R7" s="3">
        <v>17</v>
      </c>
      <c r="S7" s="3">
        <v>18</v>
      </c>
      <c r="T7" s="3">
        <v>19</v>
      </c>
      <c r="U7" s="3">
        <v>20</v>
      </c>
      <c r="V7" s="3">
        <v>21</v>
      </c>
      <c r="W7" s="3">
        <v>22</v>
      </c>
      <c r="X7" s="3">
        <v>23</v>
      </c>
      <c r="Y7" s="3">
        <v>24</v>
      </c>
      <c r="Z7" s="3">
        <v>25</v>
      </c>
      <c r="AA7" s="3">
        <v>26</v>
      </c>
      <c r="AB7" s="3">
        <v>27</v>
      </c>
      <c r="AC7" s="3">
        <v>28</v>
      </c>
      <c r="AD7" s="3">
        <v>29</v>
      </c>
      <c r="AE7" s="3">
        <v>30</v>
      </c>
      <c r="AF7" s="3">
        <v>31</v>
      </c>
    </row>
    <row r="8" ht="21" customHeight="1">
      <c r="A8" t="inlineStr" s="15">
        <is>
          <t xml:space="preserve">Risorsa 01</t>
        </is>
      </c>
      <c r="B8" s="11">
        <f>IF(COUNTIFS('Prenotazioni'!$D:$D,$A8,'Prenotazioni'!$B:$B,"&lt;"&amp;DATE(YEAR($B$5),MONTH($B$5),1+1),'Prenotazioni'!$C:$C,"&gt;="&amp;DATE(YEAR($B$5),MONTH($B$5),1))&gt;0,"OCCUPATA","LIBERA")</f>
        <v>0</v>
      </c>
      <c r="C8" s="11">
        <f>IF(COUNTIFS('Prenotazioni'!$D:$D,$A8,'Prenotazioni'!$B:$B,"&lt;"&amp;DATE(YEAR($B$5),MONTH($B$5),2+1),'Prenotazioni'!$C:$C,"&gt;="&amp;DATE(YEAR($B$5),MONTH($B$5),2))&gt;0,"OCCUPATA","LIBERA")</f>
        <v>0</v>
      </c>
      <c r="D8" s="11">
        <f>IF(COUNTIFS('Prenotazioni'!$D:$D,$A8,'Prenotazioni'!$B:$B,"&lt;"&amp;DATE(YEAR($B$5),MONTH($B$5),3+1),'Prenotazioni'!$C:$C,"&gt;="&amp;DATE(YEAR($B$5),MONTH($B$5),3))&gt;0,"OCCUPATA","LIBERA")</f>
        <v>0</v>
      </c>
      <c r="E8" s="11">
        <f>IF(COUNTIFS('Prenotazioni'!$D:$D,$A8,'Prenotazioni'!$B:$B,"&lt;"&amp;DATE(YEAR($B$5),MONTH($B$5),4+1),'Prenotazioni'!$C:$C,"&gt;="&amp;DATE(YEAR($B$5),MONTH($B$5),4))&gt;0,"OCCUPATA","LIBERA")</f>
        <v>0</v>
      </c>
      <c r="F8" s="11">
        <f>IF(COUNTIFS('Prenotazioni'!$D:$D,$A8,'Prenotazioni'!$B:$B,"&lt;"&amp;DATE(YEAR($B$5),MONTH($B$5),5+1),'Prenotazioni'!$C:$C,"&gt;="&amp;DATE(YEAR($B$5),MONTH($B$5),5))&gt;0,"OCCUPATA","LIBERA")</f>
        <v>0</v>
      </c>
      <c r="G8" s="11">
        <f>IF(COUNTIFS('Prenotazioni'!$D:$D,$A8,'Prenotazioni'!$B:$B,"&lt;"&amp;DATE(YEAR($B$5),MONTH($B$5),6+1),'Prenotazioni'!$C:$C,"&gt;="&amp;DATE(YEAR($B$5),MONTH($B$5),6))&gt;0,"OCCUPATA","LIBERA")</f>
        <v>0</v>
      </c>
      <c r="H8" s="11">
        <f>IF(COUNTIFS('Prenotazioni'!$D:$D,$A8,'Prenotazioni'!$B:$B,"&lt;"&amp;DATE(YEAR($B$5),MONTH($B$5),7+1),'Prenotazioni'!$C:$C,"&gt;="&amp;DATE(YEAR($B$5),MONTH($B$5),7))&gt;0,"OCCUPATA","LIBERA")</f>
        <v>0</v>
      </c>
      <c r="I8" s="11">
        <f>IF(COUNTIFS('Prenotazioni'!$D:$D,$A8,'Prenotazioni'!$B:$B,"&lt;"&amp;DATE(YEAR($B$5),MONTH($B$5),8+1),'Prenotazioni'!$C:$C,"&gt;="&amp;DATE(YEAR($B$5),MONTH($B$5),8))&gt;0,"OCCUPATA","LIBERA")</f>
        <v>0</v>
      </c>
      <c r="J8" s="11">
        <f>IF(COUNTIFS('Prenotazioni'!$D:$D,$A8,'Prenotazioni'!$B:$B,"&lt;"&amp;DATE(YEAR($B$5),MONTH($B$5),9+1),'Prenotazioni'!$C:$C,"&gt;="&amp;DATE(YEAR($B$5),MONTH($B$5),9))&gt;0,"OCCUPATA","LIBERA")</f>
        <v>0</v>
      </c>
      <c r="K8" s="11">
        <f>IF(COUNTIFS('Prenotazioni'!$D:$D,$A8,'Prenotazioni'!$B:$B,"&lt;"&amp;DATE(YEAR($B$5),MONTH($B$5),10+1),'Prenotazioni'!$C:$C,"&gt;="&amp;DATE(YEAR($B$5),MONTH($B$5),10))&gt;0,"OCCUPATA","LIBERA")</f>
        <v>0</v>
      </c>
      <c r="L8" s="11">
        <f>IF(COUNTIFS('Prenotazioni'!$D:$D,$A8,'Prenotazioni'!$B:$B,"&lt;"&amp;DATE(YEAR($B$5),MONTH($B$5),11+1),'Prenotazioni'!$C:$C,"&gt;="&amp;DATE(YEAR($B$5),MONTH($B$5),11))&gt;0,"OCCUPATA","LIBERA")</f>
        <v>0</v>
      </c>
      <c r="M8" s="11">
        <f>IF(COUNTIFS('Prenotazioni'!$D:$D,$A8,'Prenotazioni'!$B:$B,"&lt;"&amp;DATE(YEAR($B$5),MONTH($B$5),12+1),'Prenotazioni'!$C:$C,"&gt;="&amp;DATE(YEAR($B$5),MONTH($B$5),12))&gt;0,"OCCUPATA","LIBERA")</f>
        <v>0</v>
      </c>
      <c r="N8" s="11">
        <f>IF(COUNTIFS('Prenotazioni'!$D:$D,$A8,'Prenotazioni'!$B:$B,"&lt;"&amp;DATE(YEAR($B$5),MONTH($B$5),13+1),'Prenotazioni'!$C:$C,"&gt;="&amp;DATE(YEAR($B$5),MONTH($B$5),13))&gt;0,"OCCUPATA","LIBERA")</f>
        <v>0</v>
      </c>
      <c r="O8" s="11">
        <f>IF(COUNTIFS('Prenotazioni'!$D:$D,$A8,'Prenotazioni'!$B:$B,"&lt;"&amp;DATE(YEAR($B$5),MONTH($B$5),14+1),'Prenotazioni'!$C:$C,"&gt;="&amp;DATE(YEAR($B$5),MONTH($B$5),14))&gt;0,"OCCUPATA","LIBERA")</f>
        <v>0</v>
      </c>
      <c r="P8" s="11">
        <f>IF(COUNTIFS('Prenotazioni'!$D:$D,$A8,'Prenotazioni'!$B:$B,"&lt;"&amp;DATE(YEAR($B$5),MONTH($B$5),15+1),'Prenotazioni'!$C:$C,"&gt;="&amp;DATE(YEAR($B$5),MONTH($B$5),15))&gt;0,"OCCUPATA","LIBERA")</f>
        <v>0</v>
      </c>
      <c r="Q8" s="11">
        <f>IF(COUNTIFS('Prenotazioni'!$D:$D,$A8,'Prenotazioni'!$B:$B,"&lt;"&amp;DATE(YEAR($B$5),MONTH($B$5),16+1),'Prenotazioni'!$C:$C,"&gt;="&amp;DATE(YEAR($B$5),MONTH($B$5),16))&gt;0,"OCCUPATA","LIBERA")</f>
        <v>0</v>
      </c>
      <c r="R8" s="11">
        <f>IF(COUNTIFS('Prenotazioni'!$D:$D,$A8,'Prenotazioni'!$B:$B,"&lt;"&amp;DATE(YEAR($B$5),MONTH($B$5),17+1),'Prenotazioni'!$C:$C,"&gt;="&amp;DATE(YEAR($B$5),MONTH($B$5),17))&gt;0,"OCCUPATA","LIBERA")</f>
        <v>0</v>
      </c>
      <c r="S8" s="11">
        <f>IF(COUNTIFS('Prenotazioni'!$D:$D,$A8,'Prenotazioni'!$B:$B,"&lt;"&amp;DATE(YEAR($B$5),MONTH($B$5),18+1),'Prenotazioni'!$C:$C,"&gt;="&amp;DATE(YEAR($B$5),MONTH($B$5),18))&gt;0,"OCCUPATA","LIBERA")</f>
        <v>0</v>
      </c>
      <c r="T8" s="11">
        <f>IF(COUNTIFS('Prenotazioni'!$D:$D,$A8,'Prenotazioni'!$B:$B,"&lt;"&amp;DATE(YEAR($B$5),MONTH($B$5),19+1),'Prenotazioni'!$C:$C,"&gt;="&amp;DATE(YEAR($B$5),MONTH($B$5),19))&gt;0,"OCCUPATA","LIBERA")</f>
        <v>0</v>
      </c>
      <c r="U8" s="11">
        <f>IF(COUNTIFS('Prenotazioni'!$D:$D,$A8,'Prenotazioni'!$B:$B,"&lt;"&amp;DATE(YEAR($B$5),MONTH($B$5),20+1),'Prenotazioni'!$C:$C,"&gt;="&amp;DATE(YEAR($B$5),MONTH($B$5),20))&gt;0,"OCCUPATA","LIBERA")</f>
        <v>0</v>
      </c>
      <c r="V8" s="11">
        <f>IF(COUNTIFS('Prenotazioni'!$D:$D,$A8,'Prenotazioni'!$B:$B,"&lt;"&amp;DATE(YEAR($B$5),MONTH($B$5),21+1),'Prenotazioni'!$C:$C,"&gt;="&amp;DATE(YEAR($B$5),MONTH($B$5),21))&gt;0,"OCCUPATA","LIBERA")</f>
        <v>0</v>
      </c>
      <c r="W8" s="11">
        <f>IF(COUNTIFS('Prenotazioni'!$D:$D,$A8,'Prenotazioni'!$B:$B,"&lt;"&amp;DATE(YEAR($B$5),MONTH($B$5),22+1),'Prenotazioni'!$C:$C,"&gt;="&amp;DATE(YEAR($B$5),MONTH($B$5),22))&gt;0,"OCCUPATA","LIBERA")</f>
        <v>0</v>
      </c>
      <c r="X8" s="11">
        <f>IF(COUNTIFS('Prenotazioni'!$D:$D,$A8,'Prenotazioni'!$B:$B,"&lt;"&amp;DATE(YEAR($B$5),MONTH($B$5),23+1),'Prenotazioni'!$C:$C,"&gt;="&amp;DATE(YEAR($B$5),MONTH($B$5),23))&gt;0,"OCCUPATA","LIBERA")</f>
        <v>0</v>
      </c>
      <c r="Y8" s="11">
        <f>IF(COUNTIFS('Prenotazioni'!$D:$D,$A8,'Prenotazioni'!$B:$B,"&lt;"&amp;DATE(YEAR($B$5),MONTH($B$5),24+1),'Prenotazioni'!$C:$C,"&gt;="&amp;DATE(YEAR($B$5),MONTH($B$5),24))&gt;0,"OCCUPATA","LIBERA")</f>
        <v>0</v>
      </c>
      <c r="Z8" s="11">
        <f>IF(COUNTIFS('Prenotazioni'!$D:$D,$A8,'Prenotazioni'!$B:$B,"&lt;"&amp;DATE(YEAR($B$5),MONTH($B$5),25+1),'Prenotazioni'!$C:$C,"&gt;="&amp;DATE(YEAR($B$5),MONTH($B$5),25))&gt;0,"OCCUPATA","LIBERA")</f>
        <v>0</v>
      </c>
      <c r="AA8" s="11">
        <f>IF(COUNTIFS('Prenotazioni'!$D:$D,$A8,'Prenotazioni'!$B:$B,"&lt;"&amp;DATE(YEAR($B$5),MONTH($B$5),26+1),'Prenotazioni'!$C:$C,"&gt;="&amp;DATE(YEAR($B$5),MONTH($B$5),26))&gt;0,"OCCUPATA","LIBERA")</f>
        <v>0</v>
      </c>
      <c r="AB8" s="11">
        <f>IF(COUNTIFS('Prenotazioni'!$D:$D,$A8,'Prenotazioni'!$B:$B,"&lt;"&amp;DATE(YEAR($B$5),MONTH($B$5),27+1),'Prenotazioni'!$C:$C,"&gt;="&amp;DATE(YEAR($B$5),MONTH($B$5),27))&gt;0,"OCCUPATA","LIBERA")</f>
        <v>0</v>
      </c>
      <c r="AC8" s="11">
        <f>IF(COUNTIFS('Prenotazioni'!$D:$D,$A8,'Prenotazioni'!$B:$B,"&lt;"&amp;DATE(YEAR($B$5),MONTH($B$5),28+1),'Prenotazioni'!$C:$C,"&gt;="&amp;DATE(YEAR($B$5),MONTH($B$5),28))&gt;0,"OCCUPATA","LIBERA")</f>
        <v>0</v>
      </c>
      <c r="AD8" s="11">
        <f>IF(COUNTIFS('Prenotazioni'!$D:$D,$A8,'Prenotazioni'!$B:$B,"&lt;"&amp;DATE(YEAR($B$5),MONTH($B$5),29+1),'Prenotazioni'!$C:$C,"&gt;="&amp;DATE(YEAR($B$5),MONTH($B$5),29))&gt;0,"OCCUPATA","LIBERA")</f>
        <v>0</v>
      </c>
      <c r="AE8" s="11">
        <f>IF(COUNTIFS('Prenotazioni'!$D:$D,$A8,'Prenotazioni'!$B:$B,"&lt;"&amp;DATE(YEAR($B$5),MONTH($B$5),30+1),'Prenotazioni'!$C:$C,"&gt;="&amp;DATE(YEAR($B$5),MONTH($B$5),30))&gt;0,"OCCUPATA","LIBERA")</f>
        <v>0</v>
      </c>
      <c r="AF8" s="11">
        <f>IF(COUNTIFS('Prenotazioni'!$D:$D,$A8,'Prenotazioni'!$B:$B,"&lt;"&amp;DATE(YEAR($B$5),MONTH($B$5),31+1),'Prenotazioni'!$C:$C,"&gt;="&amp;DATE(YEAR($B$5),MONTH($B$5),31))&gt;0,"OCCUPATA","LIBERA")</f>
        <v>0</v>
      </c>
    </row>
    <row r="9" ht="21" customHeight="1">
      <c r="A9" t="inlineStr" s="15">
        <is>
          <t xml:space="preserve">Risorsa 02</t>
        </is>
      </c>
      <c r="B9" s="11">
        <f>IF(COUNTIFS('Prenotazioni'!$D:$D,$A9,'Prenotazioni'!$B:$B,"&lt;"&amp;DATE(YEAR($B$5),MONTH($B$5),1+1),'Prenotazioni'!$C:$C,"&gt;="&amp;DATE(YEAR($B$5),MONTH($B$5),1))&gt;0,"OCCUPATA","LIBERA")</f>
        <v>0</v>
      </c>
      <c r="C9" s="11">
        <f>IF(COUNTIFS('Prenotazioni'!$D:$D,$A9,'Prenotazioni'!$B:$B,"&lt;"&amp;DATE(YEAR($B$5),MONTH($B$5),2+1),'Prenotazioni'!$C:$C,"&gt;="&amp;DATE(YEAR($B$5),MONTH($B$5),2))&gt;0,"OCCUPATA","LIBERA")</f>
        <v>0</v>
      </c>
      <c r="D9" s="11">
        <f>IF(COUNTIFS('Prenotazioni'!$D:$D,$A9,'Prenotazioni'!$B:$B,"&lt;"&amp;DATE(YEAR($B$5),MONTH($B$5),3+1),'Prenotazioni'!$C:$C,"&gt;="&amp;DATE(YEAR($B$5),MONTH($B$5),3))&gt;0,"OCCUPATA","LIBERA")</f>
        <v>0</v>
      </c>
      <c r="E9" s="11">
        <f>IF(COUNTIFS('Prenotazioni'!$D:$D,$A9,'Prenotazioni'!$B:$B,"&lt;"&amp;DATE(YEAR($B$5),MONTH($B$5),4+1),'Prenotazioni'!$C:$C,"&gt;="&amp;DATE(YEAR($B$5),MONTH($B$5),4))&gt;0,"OCCUPATA","LIBERA")</f>
        <v>0</v>
      </c>
      <c r="F9" s="11">
        <f>IF(COUNTIFS('Prenotazioni'!$D:$D,$A9,'Prenotazioni'!$B:$B,"&lt;"&amp;DATE(YEAR($B$5),MONTH($B$5),5+1),'Prenotazioni'!$C:$C,"&gt;="&amp;DATE(YEAR($B$5),MONTH($B$5),5))&gt;0,"OCCUPATA","LIBERA")</f>
        <v>0</v>
      </c>
      <c r="G9" s="11">
        <f>IF(COUNTIFS('Prenotazioni'!$D:$D,$A9,'Prenotazioni'!$B:$B,"&lt;"&amp;DATE(YEAR($B$5),MONTH($B$5),6+1),'Prenotazioni'!$C:$C,"&gt;="&amp;DATE(YEAR($B$5),MONTH($B$5),6))&gt;0,"OCCUPATA","LIBERA")</f>
        <v>0</v>
      </c>
      <c r="H9" s="11">
        <f>IF(COUNTIFS('Prenotazioni'!$D:$D,$A9,'Prenotazioni'!$B:$B,"&lt;"&amp;DATE(YEAR($B$5),MONTH($B$5),7+1),'Prenotazioni'!$C:$C,"&gt;="&amp;DATE(YEAR($B$5),MONTH($B$5),7))&gt;0,"OCCUPATA","LIBERA")</f>
        <v>0</v>
      </c>
      <c r="I9" s="11">
        <f>IF(COUNTIFS('Prenotazioni'!$D:$D,$A9,'Prenotazioni'!$B:$B,"&lt;"&amp;DATE(YEAR($B$5),MONTH($B$5),8+1),'Prenotazioni'!$C:$C,"&gt;="&amp;DATE(YEAR($B$5),MONTH($B$5),8))&gt;0,"OCCUPATA","LIBERA")</f>
        <v>0</v>
      </c>
      <c r="J9" s="11">
        <f>IF(COUNTIFS('Prenotazioni'!$D:$D,$A9,'Prenotazioni'!$B:$B,"&lt;"&amp;DATE(YEAR($B$5),MONTH($B$5),9+1),'Prenotazioni'!$C:$C,"&gt;="&amp;DATE(YEAR($B$5),MONTH($B$5),9))&gt;0,"OCCUPATA","LIBERA")</f>
        <v>0</v>
      </c>
      <c r="K9" s="11">
        <f>IF(COUNTIFS('Prenotazioni'!$D:$D,$A9,'Prenotazioni'!$B:$B,"&lt;"&amp;DATE(YEAR($B$5),MONTH($B$5),10+1),'Prenotazioni'!$C:$C,"&gt;="&amp;DATE(YEAR($B$5),MONTH($B$5),10))&gt;0,"OCCUPATA","LIBERA")</f>
        <v>0</v>
      </c>
      <c r="L9" s="11">
        <f>IF(COUNTIFS('Prenotazioni'!$D:$D,$A9,'Prenotazioni'!$B:$B,"&lt;"&amp;DATE(YEAR($B$5),MONTH($B$5),11+1),'Prenotazioni'!$C:$C,"&gt;="&amp;DATE(YEAR($B$5),MONTH($B$5),11))&gt;0,"OCCUPATA","LIBERA")</f>
        <v>0</v>
      </c>
      <c r="M9" s="11">
        <f>IF(COUNTIFS('Prenotazioni'!$D:$D,$A9,'Prenotazioni'!$B:$B,"&lt;"&amp;DATE(YEAR($B$5),MONTH($B$5),12+1),'Prenotazioni'!$C:$C,"&gt;="&amp;DATE(YEAR($B$5),MONTH($B$5),12))&gt;0,"OCCUPATA","LIBERA")</f>
        <v>0</v>
      </c>
      <c r="N9" s="11">
        <f>IF(COUNTIFS('Prenotazioni'!$D:$D,$A9,'Prenotazioni'!$B:$B,"&lt;"&amp;DATE(YEAR($B$5),MONTH($B$5),13+1),'Prenotazioni'!$C:$C,"&gt;="&amp;DATE(YEAR($B$5),MONTH($B$5),13))&gt;0,"OCCUPATA","LIBERA")</f>
        <v>0</v>
      </c>
      <c r="O9" s="11">
        <f>IF(COUNTIFS('Prenotazioni'!$D:$D,$A9,'Prenotazioni'!$B:$B,"&lt;"&amp;DATE(YEAR($B$5),MONTH($B$5),14+1),'Prenotazioni'!$C:$C,"&gt;="&amp;DATE(YEAR($B$5),MONTH($B$5),14))&gt;0,"OCCUPATA","LIBERA")</f>
        <v>0</v>
      </c>
      <c r="P9" s="11">
        <f>IF(COUNTIFS('Prenotazioni'!$D:$D,$A9,'Prenotazioni'!$B:$B,"&lt;"&amp;DATE(YEAR($B$5),MONTH($B$5),15+1),'Prenotazioni'!$C:$C,"&gt;="&amp;DATE(YEAR($B$5),MONTH($B$5),15))&gt;0,"OCCUPATA","LIBERA")</f>
        <v>0</v>
      </c>
      <c r="Q9" s="11">
        <f>IF(COUNTIFS('Prenotazioni'!$D:$D,$A9,'Prenotazioni'!$B:$B,"&lt;"&amp;DATE(YEAR($B$5),MONTH($B$5),16+1),'Prenotazioni'!$C:$C,"&gt;="&amp;DATE(YEAR($B$5),MONTH($B$5),16))&gt;0,"OCCUPATA","LIBERA")</f>
        <v>0</v>
      </c>
      <c r="R9" s="11">
        <f>IF(COUNTIFS('Prenotazioni'!$D:$D,$A9,'Prenotazioni'!$B:$B,"&lt;"&amp;DATE(YEAR($B$5),MONTH($B$5),17+1),'Prenotazioni'!$C:$C,"&gt;="&amp;DATE(YEAR($B$5),MONTH($B$5),17))&gt;0,"OCCUPATA","LIBERA")</f>
        <v>0</v>
      </c>
      <c r="S9" s="11">
        <f>IF(COUNTIFS('Prenotazioni'!$D:$D,$A9,'Prenotazioni'!$B:$B,"&lt;"&amp;DATE(YEAR($B$5),MONTH($B$5),18+1),'Prenotazioni'!$C:$C,"&gt;="&amp;DATE(YEAR($B$5),MONTH($B$5),18))&gt;0,"OCCUPATA","LIBERA")</f>
        <v>0</v>
      </c>
      <c r="T9" s="11">
        <f>IF(COUNTIFS('Prenotazioni'!$D:$D,$A9,'Prenotazioni'!$B:$B,"&lt;"&amp;DATE(YEAR($B$5),MONTH($B$5),19+1),'Prenotazioni'!$C:$C,"&gt;="&amp;DATE(YEAR($B$5),MONTH($B$5),19))&gt;0,"OCCUPATA","LIBERA")</f>
        <v>0</v>
      </c>
      <c r="U9" s="11">
        <f>IF(COUNTIFS('Prenotazioni'!$D:$D,$A9,'Prenotazioni'!$B:$B,"&lt;"&amp;DATE(YEAR($B$5),MONTH($B$5),20+1),'Prenotazioni'!$C:$C,"&gt;="&amp;DATE(YEAR($B$5),MONTH($B$5),20))&gt;0,"OCCUPATA","LIBERA")</f>
        <v>0</v>
      </c>
      <c r="V9" s="11">
        <f>IF(COUNTIFS('Prenotazioni'!$D:$D,$A9,'Prenotazioni'!$B:$B,"&lt;"&amp;DATE(YEAR($B$5),MONTH($B$5),21+1),'Prenotazioni'!$C:$C,"&gt;="&amp;DATE(YEAR($B$5),MONTH($B$5),21))&gt;0,"OCCUPATA","LIBERA")</f>
        <v>0</v>
      </c>
      <c r="W9" s="11">
        <f>IF(COUNTIFS('Prenotazioni'!$D:$D,$A9,'Prenotazioni'!$B:$B,"&lt;"&amp;DATE(YEAR($B$5),MONTH($B$5),22+1),'Prenotazioni'!$C:$C,"&gt;="&amp;DATE(YEAR($B$5),MONTH($B$5),22))&gt;0,"OCCUPATA","LIBERA")</f>
        <v>0</v>
      </c>
      <c r="X9" s="11">
        <f>IF(COUNTIFS('Prenotazioni'!$D:$D,$A9,'Prenotazioni'!$B:$B,"&lt;"&amp;DATE(YEAR($B$5),MONTH($B$5),23+1),'Prenotazioni'!$C:$C,"&gt;="&amp;DATE(YEAR($B$5),MONTH($B$5),23))&gt;0,"OCCUPATA","LIBERA")</f>
        <v>0</v>
      </c>
      <c r="Y9" s="11">
        <f>IF(COUNTIFS('Prenotazioni'!$D:$D,$A9,'Prenotazioni'!$B:$B,"&lt;"&amp;DATE(YEAR($B$5),MONTH($B$5),24+1),'Prenotazioni'!$C:$C,"&gt;="&amp;DATE(YEAR($B$5),MONTH($B$5),24))&gt;0,"OCCUPATA","LIBERA")</f>
        <v>0</v>
      </c>
      <c r="Z9" s="11">
        <f>IF(COUNTIFS('Prenotazioni'!$D:$D,$A9,'Prenotazioni'!$B:$B,"&lt;"&amp;DATE(YEAR($B$5),MONTH($B$5),25+1),'Prenotazioni'!$C:$C,"&gt;="&amp;DATE(YEAR($B$5),MONTH($B$5),25))&gt;0,"OCCUPATA","LIBERA")</f>
        <v>0</v>
      </c>
      <c r="AA9" s="11">
        <f>IF(COUNTIFS('Prenotazioni'!$D:$D,$A9,'Prenotazioni'!$B:$B,"&lt;"&amp;DATE(YEAR($B$5),MONTH($B$5),26+1),'Prenotazioni'!$C:$C,"&gt;="&amp;DATE(YEAR($B$5),MONTH($B$5),26))&gt;0,"OCCUPATA","LIBERA")</f>
        <v>0</v>
      </c>
      <c r="AB9" s="11">
        <f>IF(COUNTIFS('Prenotazioni'!$D:$D,$A9,'Prenotazioni'!$B:$B,"&lt;"&amp;DATE(YEAR($B$5),MONTH($B$5),27+1),'Prenotazioni'!$C:$C,"&gt;="&amp;DATE(YEAR($B$5),MONTH($B$5),27))&gt;0,"OCCUPATA","LIBERA")</f>
        <v>0</v>
      </c>
      <c r="AC9" s="11">
        <f>IF(COUNTIFS('Prenotazioni'!$D:$D,$A9,'Prenotazioni'!$B:$B,"&lt;"&amp;DATE(YEAR($B$5),MONTH($B$5),28+1),'Prenotazioni'!$C:$C,"&gt;="&amp;DATE(YEAR($B$5),MONTH($B$5),28))&gt;0,"OCCUPATA","LIBERA")</f>
        <v>0</v>
      </c>
      <c r="AD9" s="11">
        <f>IF(COUNTIFS('Prenotazioni'!$D:$D,$A9,'Prenotazioni'!$B:$B,"&lt;"&amp;DATE(YEAR($B$5),MONTH($B$5),29+1),'Prenotazioni'!$C:$C,"&gt;="&amp;DATE(YEAR($B$5),MONTH($B$5),29))&gt;0,"OCCUPATA","LIBERA")</f>
        <v>0</v>
      </c>
      <c r="AE9" s="11">
        <f>IF(COUNTIFS('Prenotazioni'!$D:$D,$A9,'Prenotazioni'!$B:$B,"&lt;"&amp;DATE(YEAR($B$5),MONTH($B$5),30+1),'Prenotazioni'!$C:$C,"&gt;="&amp;DATE(YEAR($B$5),MONTH($B$5),30))&gt;0,"OCCUPATA","LIBERA")</f>
        <v>0</v>
      </c>
      <c r="AF9" s="11">
        <f>IF(COUNTIFS('Prenotazioni'!$D:$D,$A9,'Prenotazioni'!$B:$B,"&lt;"&amp;DATE(YEAR($B$5),MONTH($B$5),31+1),'Prenotazioni'!$C:$C,"&gt;="&amp;DATE(YEAR($B$5),MONTH($B$5),31))&gt;0,"OCCUPATA","LIBERA")</f>
        <v>0</v>
      </c>
    </row>
    <row r="10" ht="21" customHeight="1">
      <c r="A10" t="inlineStr" s="15">
        <is>
          <t xml:space="preserve">Risorsa 03</t>
        </is>
      </c>
      <c r="B10" s="11">
        <f>IF(COUNTIFS('Prenotazioni'!$D:$D,$A10,'Prenotazioni'!$B:$B,"&lt;"&amp;DATE(YEAR($B$5),MONTH($B$5),1+1),'Prenotazioni'!$C:$C,"&gt;="&amp;DATE(YEAR($B$5),MONTH($B$5),1))&gt;0,"OCCUPATA","LIBERA")</f>
        <v>0</v>
      </c>
      <c r="C10" s="11">
        <f>IF(COUNTIFS('Prenotazioni'!$D:$D,$A10,'Prenotazioni'!$B:$B,"&lt;"&amp;DATE(YEAR($B$5),MONTH($B$5),2+1),'Prenotazioni'!$C:$C,"&gt;="&amp;DATE(YEAR($B$5),MONTH($B$5),2))&gt;0,"OCCUPATA","LIBERA")</f>
        <v>0</v>
      </c>
      <c r="D10" s="11">
        <f>IF(COUNTIFS('Prenotazioni'!$D:$D,$A10,'Prenotazioni'!$B:$B,"&lt;"&amp;DATE(YEAR($B$5),MONTH($B$5),3+1),'Prenotazioni'!$C:$C,"&gt;="&amp;DATE(YEAR($B$5),MONTH($B$5),3))&gt;0,"OCCUPATA","LIBERA")</f>
        <v>0</v>
      </c>
      <c r="E10" s="11">
        <f>IF(COUNTIFS('Prenotazioni'!$D:$D,$A10,'Prenotazioni'!$B:$B,"&lt;"&amp;DATE(YEAR($B$5),MONTH($B$5),4+1),'Prenotazioni'!$C:$C,"&gt;="&amp;DATE(YEAR($B$5),MONTH($B$5),4))&gt;0,"OCCUPATA","LIBERA")</f>
        <v>0</v>
      </c>
      <c r="F10" s="11">
        <f>IF(COUNTIFS('Prenotazioni'!$D:$D,$A10,'Prenotazioni'!$B:$B,"&lt;"&amp;DATE(YEAR($B$5),MONTH($B$5),5+1),'Prenotazioni'!$C:$C,"&gt;="&amp;DATE(YEAR($B$5),MONTH($B$5),5))&gt;0,"OCCUPATA","LIBERA")</f>
        <v>0</v>
      </c>
      <c r="G10" s="11">
        <f>IF(COUNTIFS('Prenotazioni'!$D:$D,$A10,'Prenotazioni'!$B:$B,"&lt;"&amp;DATE(YEAR($B$5),MONTH($B$5),6+1),'Prenotazioni'!$C:$C,"&gt;="&amp;DATE(YEAR($B$5),MONTH($B$5),6))&gt;0,"OCCUPATA","LIBERA")</f>
        <v>0</v>
      </c>
      <c r="H10" s="11">
        <f>IF(COUNTIFS('Prenotazioni'!$D:$D,$A10,'Prenotazioni'!$B:$B,"&lt;"&amp;DATE(YEAR($B$5),MONTH($B$5),7+1),'Prenotazioni'!$C:$C,"&gt;="&amp;DATE(YEAR($B$5),MONTH($B$5),7))&gt;0,"OCCUPATA","LIBERA")</f>
        <v>0</v>
      </c>
      <c r="I10" s="11">
        <f>IF(COUNTIFS('Prenotazioni'!$D:$D,$A10,'Prenotazioni'!$B:$B,"&lt;"&amp;DATE(YEAR($B$5),MONTH($B$5),8+1),'Prenotazioni'!$C:$C,"&gt;="&amp;DATE(YEAR($B$5),MONTH($B$5),8))&gt;0,"OCCUPATA","LIBERA")</f>
        <v>0</v>
      </c>
      <c r="J10" s="11">
        <f>IF(COUNTIFS('Prenotazioni'!$D:$D,$A10,'Prenotazioni'!$B:$B,"&lt;"&amp;DATE(YEAR($B$5),MONTH($B$5),9+1),'Prenotazioni'!$C:$C,"&gt;="&amp;DATE(YEAR($B$5),MONTH($B$5),9))&gt;0,"OCCUPATA","LIBERA")</f>
        <v>0</v>
      </c>
      <c r="K10" s="11">
        <f>IF(COUNTIFS('Prenotazioni'!$D:$D,$A10,'Prenotazioni'!$B:$B,"&lt;"&amp;DATE(YEAR($B$5),MONTH($B$5),10+1),'Prenotazioni'!$C:$C,"&gt;="&amp;DATE(YEAR($B$5),MONTH($B$5),10))&gt;0,"OCCUPATA","LIBERA")</f>
        <v>0</v>
      </c>
      <c r="L10" s="11">
        <f>IF(COUNTIFS('Prenotazioni'!$D:$D,$A10,'Prenotazioni'!$B:$B,"&lt;"&amp;DATE(YEAR($B$5),MONTH($B$5),11+1),'Prenotazioni'!$C:$C,"&gt;="&amp;DATE(YEAR($B$5),MONTH($B$5),11))&gt;0,"OCCUPATA","LIBERA")</f>
        <v>0</v>
      </c>
      <c r="M10" s="11">
        <f>IF(COUNTIFS('Prenotazioni'!$D:$D,$A10,'Prenotazioni'!$B:$B,"&lt;"&amp;DATE(YEAR($B$5),MONTH($B$5),12+1),'Prenotazioni'!$C:$C,"&gt;="&amp;DATE(YEAR($B$5),MONTH($B$5),12))&gt;0,"OCCUPATA","LIBERA")</f>
        <v>0</v>
      </c>
      <c r="N10" s="11">
        <f>IF(COUNTIFS('Prenotazioni'!$D:$D,$A10,'Prenotazioni'!$B:$B,"&lt;"&amp;DATE(YEAR($B$5),MONTH($B$5),13+1),'Prenotazioni'!$C:$C,"&gt;="&amp;DATE(YEAR($B$5),MONTH($B$5),13))&gt;0,"OCCUPATA","LIBERA")</f>
        <v>0</v>
      </c>
      <c r="O10" s="11">
        <f>IF(COUNTIFS('Prenotazioni'!$D:$D,$A10,'Prenotazioni'!$B:$B,"&lt;"&amp;DATE(YEAR($B$5),MONTH($B$5),14+1),'Prenotazioni'!$C:$C,"&gt;="&amp;DATE(YEAR($B$5),MONTH($B$5),14))&gt;0,"OCCUPATA","LIBERA")</f>
        <v>0</v>
      </c>
      <c r="P10" s="11">
        <f>IF(COUNTIFS('Prenotazioni'!$D:$D,$A10,'Prenotazioni'!$B:$B,"&lt;"&amp;DATE(YEAR($B$5),MONTH($B$5),15+1),'Prenotazioni'!$C:$C,"&gt;="&amp;DATE(YEAR($B$5),MONTH($B$5),15))&gt;0,"OCCUPATA","LIBERA")</f>
        <v>0</v>
      </c>
      <c r="Q10" s="11">
        <f>IF(COUNTIFS('Prenotazioni'!$D:$D,$A10,'Prenotazioni'!$B:$B,"&lt;"&amp;DATE(YEAR($B$5),MONTH($B$5),16+1),'Prenotazioni'!$C:$C,"&gt;="&amp;DATE(YEAR($B$5),MONTH($B$5),16))&gt;0,"OCCUPATA","LIBERA")</f>
        <v>0</v>
      </c>
      <c r="R10" s="11">
        <f>IF(COUNTIFS('Prenotazioni'!$D:$D,$A10,'Prenotazioni'!$B:$B,"&lt;"&amp;DATE(YEAR($B$5),MONTH($B$5),17+1),'Prenotazioni'!$C:$C,"&gt;="&amp;DATE(YEAR($B$5),MONTH($B$5),17))&gt;0,"OCCUPATA","LIBERA")</f>
        <v>0</v>
      </c>
      <c r="S10" s="11">
        <f>IF(COUNTIFS('Prenotazioni'!$D:$D,$A10,'Prenotazioni'!$B:$B,"&lt;"&amp;DATE(YEAR($B$5),MONTH($B$5),18+1),'Prenotazioni'!$C:$C,"&gt;="&amp;DATE(YEAR($B$5),MONTH($B$5),18))&gt;0,"OCCUPATA","LIBERA")</f>
        <v>0</v>
      </c>
      <c r="T10" s="11">
        <f>IF(COUNTIFS('Prenotazioni'!$D:$D,$A10,'Prenotazioni'!$B:$B,"&lt;"&amp;DATE(YEAR($B$5),MONTH($B$5),19+1),'Prenotazioni'!$C:$C,"&gt;="&amp;DATE(YEAR($B$5),MONTH($B$5),19))&gt;0,"OCCUPATA","LIBERA")</f>
        <v>0</v>
      </c>
      <c r="U10" s="11">
        <f>IF(COUNTIFS('Prenotazioni'!$D:$D,$A10,'Prenotazioni'!$B:$B,"&lt;"&amp;DATE(YEAR($B$5),MONTH($B$5),20+1),'Prenotazioni'!$C:$C,"&gt;="&amp;DATE(YEAR($B$5),MONTH($B$5),20))&gt;0,"OCCUPATA","LIBERA")</f>
        <v>0</v>
      </c>
      <c r="V10" s="11">
        <f>IF(COUNTIFS('Prenotazioni'!$D:$D,$A10,'Prenotazioni'!$B:$B,"&lt;"&amp;DATE(YEAR($B$5),MONTH($B$5),21+1),'Prenotazioni'!$C:$C,"&gt;="&amp;DATE(YEAR($B$5),MONTH($B$5),21))&gt;0,"OCCUPATA","LIBERA")</f>
        <v>0</v>
      </c>
      <c r="W10" s="11">
        <f>IF(COUNTIFS('Prenotazioni'!$D:$D,$A10,'Prenotazioni'!$B:$B,"&lt;"&amp;DATE(YEAR($B$5),MONTH($B$5),22+1),'Prenotazioni'!$C:$C,"&gt;="&amp;DATE(YEAR($B$5),MONTH($B$5),22))&gt;0,"OCCUPATA","LIBERA")</f>
        <v>0</v>
      </c>
      <c r="X10" s="11">
        <f>IF(COUNTIFS('Prenotazioni'!$D:$D,$A10,'Prenotazioni'!$B:$B,"&lt;"&amp;DATE(YEAR($B$5),MONTH($B$5),23+1),'Prenotazioni'!$C:$C,"&gt;="&amp;DATE(YEAR($B$5),MONTH($B$5),23))&gt;0,"OCCUPATA","LIBERA")</f>
        <v>0</v>
      </c>
      <c r="Y10" s="11">
        <f>IF(COUNTIFS('Prenotazioni'!$D:$D,$A10,'Prenotazioni'!$B:$B,"&lt;"&amp;DATE(YEAR($B$5),MONTH($B$5),24+1),'Prenotazioni'!$C:$C,"&gt;="&amp;DATE(YEAR($B$5),MONTH($B$5),24))&gt;0,"OCCUPATA","LIBERA")</f>
        <v>0</v>
      </c>
      <c r="Z10" s="11">
        <f>IF(COUNTIFS('Prenotazioni'!$D:$D,$A10,'Prenotazioni'!$B:$B,"&lt;"&amp;DATE(YEAR($B$5),MONTH($B$5),25+1),'Prenotazioni'!$C:$C,"&gt;="&amp;DATE(YEAR($B$5),MONTH($B$5),25))&gt;0,"OCCUPATA","LIBERA")</f>
        <v>0</v>
      </c>
      <c r="AA10" s="11">
        <f>IF(COUNTIFS('Prenotazioni'!$D:$D,$A10,'Prenotazioni'!$B:$B,"&lt;"&amp;DATE(YEAR($B$5),MONTH($B$5),26+1),'Prenotazioni'!$C:$C,"&gt;="&amp;DATE(YEAR($B$5),MONTH($B$5),26))&gt;0,"OCCUPATA","LIBERA")</f>
        <v>0</v>
      </c>
      <c r="AB10" s="11">
        <f>IF(COUNTIFS('Prenotazioni'!$D:$D,$A10,'Prenotazioni'!$B:$B,"&lt;"&amp;DATE(YEAR($B$5),MONTH($B$5),27+1),'Prenotazioni'!$C:$C,"&gt;="&amp;DATE(YEAR($B$5),MONTH($B$5),27))&gt;0,"OCCUPATA","LIBERA")</f>
        <v>0</v>
      </c>
      <c r="AC10" s="11">
        <f>IF(COUNTIFS('Prenotazioni'!$D:$D,$A10,'Prenotazioni'!$B:$B,"&lt;"&amp;DATE(YEAR($B$5),MONTH($B$5),28+1),'Prenotazioni'!$C:$C,"&gt;="&amp;DATE(YEAR($B$5),MONTH($B$5),28))&gt;0,"OCCUPATA","LIBERA")</f>
        <v>0</v>
      </c>
      <c r="AD10" s="11">
        <f>IF(COUNTIFS('Prenotazioni'!$D:$D,$A10,'Prenotazioni'!$B:$B,"&lt;"&amp;DATE(YEAR($B$5),MONTH($B$5),29+1),'Prenotazioni'!$C:$C,"&gt;="&amp;DATE(YEAR($B$5),MONTH($B$5),29))&gt;0,"OCCUPATA","LIBERA")</f>
        <v>0</v>
      </c>
      <c r="AE10" s="11">
        <f>IF(COUNTIFS('Prenotazioni'!$D:$D,$A10,'Prenotazioni'!$B:$B,"&lt;"&amp;DATE(YEAR($B$5),MONTH($B$5),30+1),'Prenotazioni'!$C:$C,"&gt;="&amp;DATE(YEAR($B$5),MONTH($B$5),30))&gt;0,"OCCUPATA","LIBERA")</f>
        <v>0</v>
      </c>
      <c r="AF10" s="11">
        <f>IF(COUNTIFS('Prenotazioni'!$D:$D,$A10,'Prenotazioni'!$B:$B,"&lt;"&amp;DATE(YEAR($B$5),MONTH($B$5),31+1),'Prenotazioni'!$C:$C,"&gt;="&amp;DATE(YEAR($B$5),MONTH($B$5),31))&gt;0,"OCCUPATA","LIBERA")</f>
        <v>0</v>
      </c>
    </row>
    <row r="11" ht="21" customHeight="1">
      <c r="A11" t="inlineStr" s="15">
        <is>
          <t xml:space="preserve">Risorsa 04</t>
        </is>
      </c>
      <c r="B11" s="11">
        <f>IF(COUNTIFS('Prenotazioni'!$D:$D,$A11,'Prenotazioni'!$B:$B,"&lt;"&amp;DATE(YEAR($B$5),MONTH($B$5),1+1),'Prenotazioni'!$C:$C,"&gt;="&amp;DATE(YEAR($B$5),MONTH($B$5),1))&gt;0,"OCCUPATA","LIBERA")</f>
        <v>0</v>
      </c>
      <c r="C11" s="11">
        <f>IF(COUNTIFS('Prenotazioni'!$D:$D,$A11,'Prenotazioni'!$B:$B,"&lt;"&amp;DATE(YEAR($B$5),MONTH($B$5),2+1),'Prenotazioni'!$C:$C,"&gt;="&amp;DATE(YEAR($B$5),MONTH($B$5),2))&gt;0,"OCCUPATA","LIBERA")</f>
        <v>0</v>
      </c>
      <c r="D11" s="11">
        <f>IF(COUNTIFS('Prenotazioni'!$D:$D,$A11,'Prenotazioni'!$B:$B,"&lt;"&amp;DATE(YEAR($B$5),MONTH($B$5),3+1),'Prenotazioni'!$C:$C,"&gt;="&amp;DATE(YEAR($B$5),MONTH($B$5),3))&gt;0,"OCCUPATA","LIBERA")</f>
        <v>0</v>
      </c>
      <c r="E11" s="11">
        <f>IF(COUNTIFS('Prenotazioni'!$D:$D,$A11,'Prenotazioni'!$B:$B,"&lt;"&amp;DATE(YEAR($B$5),MONTH($B$5),4+1),'Prenotazioni'!$C:$C,"&gt;="&amp;DATE(YEAR($B$5),MONTH($B$5),4))&gt;0,"OCCUPATA","LIBERA")</f>
        <v>0</v>
      </c>
      <c r="F11" s="11">
        <f>IF(COUNTIFS('Prenotazioni'!$D:$D,$A11,'Prenotazioni'!$B:$B,"&lt;"&amp;DATE(YEAR($B$5),MONTH($B$5),5+1),'Prenotazioni'!$C:$C,"&gt;="&amp;DATE(YEAR($B$5),MONTH($B$5),5))&gt;0,"OCCUPATA","LIBERA")</f>
        <v>0</v>
      </c>
      <c r="G11" s="11">
        <f>IF(COUNTIFS('Prenotazioni'!$D:$D,$A11,'Prenotazioni'!$B:$B,"&lt;"&amp;DATE(YEAR($B$5),MONTH($B$5),6+1),'Prenotazioni'!$C:$C,"&gt;="&amp;DATE(YEAR($B$5),MONTH($B$5),6))&gt;0,"OCCUPATA","LIBERA")</f>
        <v>0</v>
      </c>
      <c r="H11" s="11">
        <f>IF(COUNTIFS('Prenotazioni'!$D:$D,$A11,'Prenotazioni'!$B:$B,"&lt;"&amp;DATE(YEAR($B$5),MONTH($B$5),7+1),'Prenotazioni'!$C:$C,"&gt;="&amp;DATE(YEAR($B$5),MONTH($B$5),7))&gt;0,"OCCUPATA","LIBERA")</f>
        <v>0</v>
      </c>
      <c r="I11" s="11">
        <f>IF(COUNTIFS('Prenotazioni'!$D:$D,$A11,'Prenotazioni'!$B:$B,"&lt;"&amp;DATE(YEAR($B$5),MONTH($B$5),8+1),'Prenotazioni'!$C:$C,"&gt;="&amp;DATE(YEAR($B$5),MONTH($B$5),8))&gt;0,"OCCUPATA","LIBERA")</f>
        <v>0</v>
      </c>
      <c r="J11" s="11">
        <f>IF(COUNTIFS('Prenotazioni'!$D:$D,$A11,'Prenotazioni'!$B:$B,"&lt;"&amp;DATE(YEAR($B$5),MONTH($B$5),9+1),'Prenotazioni'!$C:$C,"&gt;="&amp;DATE(YEAR($B$5),MONTH($B$5),9))&gt;0,"OCCUPATA","LIBERA")</f>
        <v>0</v>
      </c>
      <c r="K11" s="11">
        <f>IF(COUNTIFS('Prenotazioni'!$D:$D,$A11,'Prenotazioni'!$B:$B,"&lt;"&amp;DATE(YEAR($B$5),MONTH($B$5),10+1),'Prenotazioni'!$C:$C,"&gt;="&amp;DATE(YEAR($B$5),MONTH($B$5),10))&gt;0,"OCCUPATA","LIBERA")</f>
        <v>0</v>
      </c>
      <c r="L11" s="11">
        <f>IF(COUNTIFS('Prenotazioni'!$D:$D,$A11,'Prenotazioni'!$B:$B,"&lt;"&amp;DATE(YEAR($B$5),MONTH($B$5),11+1),'Prenotazioni'!$C:$C,"&gt;="&amp;DATE(YEAR($B$5),MONTH($B$5),11))&gt;0,"OCCUPATA","LIBERA")</f>
        <v>0</v>
      </c>
      <c r="M11" s="11">
        <f>IF(COUNTIFS('Prenotazioni'!$D:$D,$A11,'Prenotazioni'!$B:$B,"&lt;"&amp;DATE(YEAR($B$5),MONTH($B$5),12+1),'Prenotazioni'!$C:$C,"&gt;="&amp;DATE(YEAR($B$5),MONTH($B$5),12))&gt;0,"OCCUPATA","LIBERA")</f>
        <v>0</v>
      </c>
      <c r="N11" s="11">
        <f>IF(COUNTIFS('Prenotazioni'!$D:$D,$A11,'Prenotazioni'!$B:$B,"&lt;"&amp;DATE(YEAR($B$5),MONTH($B$5),13+1),'Prenotazioni'!$C:$C,"&gt;="&amp;DATE(YEAR($B$5),MONTH($B$5),13))&gt;0,"OCCUPATA","LIBERA")</f>
        <v>0</v>
      </c>
      <c r="O11" s="11">
        <f>IF(COUNTIFS('Prenotazioni'!$D:$D,$A11,'Prenotazioni'!$B:$B,"&lt;"&amp;DATE(YEAR($B$5),MONTH($B$5),14+1),'Prenotazioni'!$C:$C,"&gt;="&amp;DATE(YEAR($B$5),MONTH($B$5),14))&gt;0,"OCCUPATA","LIBERA")</f>
        <v>0</v>
      </c>
      <c r="P11" s="11">
        <f>IF(COUNTIFS('Prenotazioni'!$D:$D,$A11,'Prenotazioni'!$B:$B,"&lt;"&amp;DATE(YEAR($B$5),MONTH($B$5),15+1),'Prenotazioni'!$C:$C,"&gt;="&amp;DATE(YEAR($B$5),MONTH($B$5),15))&gt;0,"OCCUPATA","LIBERA")</f>
        <v>0</v>
      </c>
      <c r="Q11" s="11">
        <f>IF(COUNTIFS('Prenotazioni'!$D:$D,$A11,'Prenotazioni'!$B:$B,"&lt;"&amp;DATE(YEAR($B$5),MONTH($B$5),16+1),'Prenotazioni'!$C:$C,"&gt;="&amp;DATE(YEAR($B$5),MONTH($B$5),16))&gt;0,"OCCUPATA","LIBERA")</f>
        <v>0</v>
      </c>
      <c r="R11" s="11">
        <f>IF(COUNTIFS('Prenotazioni'!$D:$D,$A11,'Prenotazioni'!$B:$B,"&lt;"&amp;DATE(YEAR($B$5),MONTH($B$5),17+1),'Prenotazioni'!$C:$C,"&gt;="&amp;DATE(YEAR($B$5),MONTH($B$5),17))&gt;0,"OCCUPATA","LIBERA")</f>
        <v>0</v>
      </c>
      <c r="S11" s="11">
        <f>IF(COUNTIFS('Prenotazioni'!$D:$D,$A11,'Prenotazioni'!$B:$B,"&lt;"&amp;DATE(YEAR($B$5),MONTH($B$5),18+1),'Prenotazioni'!$C:$C,"&gt;="&amp;DATE(YEAR($B$5),MONTH($B$5),18))&gt;0,"OCCUPATA","LIBERA")</f>
        <v>0</v>
      </c>
      <c r="T11" s="11">
        <f>IF(COUNTIFS('Prenotazioni'!$D:$D,$A11,'Prenotazioni'!$B:$B,"&lt;"&amp;DATE(YEAR($B$5),MONTH($B$5),19+1),'Prenotazioni'!$C:$C,"&gt;="&amp;DATE(YEAR($B$5),MONTH($B$5),19))&gt;0,"OCCUPATA","LIBERA")</f>
        <v>0</v>
      </c>
      <c r="U11" s="11">
        <f>IF(COUNTIFS('Prenotazioni'!$D:$D,$A11,'Prenotazioni'!$B:$B,"&lt;"&amp;DATE(YEAR($B$5),MONTH($B$5),20+1),'Prenotazioni'!$C:$C,"&gt;="&amp;DATE(YEAR($B$5),MONTH($B$5),20))&gt;0,"OCCUPATA","LIBERA")</f>
        <v>0</v>
      </c>
      <c r="V11" s="11">
        <f>IF(COUNTIFS('Prenotazioni'!$D:$D,$A11,'Prenotazioni'!$B:$B,"&lt;"&amp;DATE(YEAR($B$5),MONTH($B$5),21+1),'Prenotazioni'!$C:$C,"&gt;="&amp;DATE(YEAR($B$5),MONTH($B$5),21))&gt;0,"OCCUPATA","LIBERA")</f>
        <v>0</v>
      </c>
      <c r="W11" s="11">
        <f>IF(COUNTIFS('Prenotazioni'!$D:$D,$A11,'Prenotazioni'!$B:$B,"&lt;"&amp;DATE(YEAR($B$5),MONTH($B$5),22+1),'Prenotazioni'!$C:$C,"&gt;="&amp;DATE(YEAR($B$5),MONTH($B$5),22))&gt;0,"OCCUPATA","LIBERA")</f>
        <v>0</v>
      </c>
      <c r="X11" s="11">
        <f>IF(COUNTIFS('Prenotazioni'!$D:$D,$A11,'Prenotazioni'!$B:$B,"&lt;"&amp;DATE(YEAR($B$5),MONTH($B$5),23+1),'Prenotazioni'!$C:$C,"&gt;="&amp;DATE(YEAR($B$5),MONTH($B$5),23))&gt;0,"OCCUPATA","LIBERA")</f>
        <v>0</v>
      </c>
      <c r="Y11" s="11">
        <f>IF(COUNTIFS('Prenotazioni'!$D:$D,$A11,'Prenotazioni'!$B:$B,"&lt;"&amp;DATE(YEAR($B$5),MONTH($B$5),24+1),'Prenotazioni'!$C:$C,"&gt;="&amp;DATE(YEAR($B$5),MONTH($B$5),24))&gt;0,"OCCUPATA","LIBERA")</f>
        <v>0</v>
      </c>
      <c r="Z11" s="11">
        <f>IF(COUNTIFS('Prenotazioni'!$D:$D,$A11,'Prenotazioni'!$B:$B,"&lt;"&amp;DATE(YEAR($B$5),MONTH($B$5),25+1),'Prenotazioni'!$C:$C,"&gt;="&amp;DATE(YEAR($B$5),MONTH($B$5),25))&gt;0,"OCCUPATA","LIBERA")</f>
        <v>0</v>
      </c>
      <c r="AA11" s="11">
        <f>IF(COUNTIFS('Prenotazioni'!$D:$D,$A11,'Prenotazioni'!$B:$B,"&lt;"&amp;DATE(YEAR($B$5),MONTH($B$5),26+1),'Prenotazioni'!$C:$C,"&gt;="&amp;DATE(YEAR($B$5),MONTH($B$5),26))&gt;0,"OCCUPATA","LIBERA")</f>
        <v>0</v>
      </c>
      <c r="AB11" s="11">
        <f>IF(COUNTIFS('Prenotazioni'!$D:$D,$A11,'Prenotazioni'!$B:$B,"&lt;"&amp;DATE(YEAR($B$5),MONTH($B$5),27+1),'Prenotazioni'!$C:$C,"&gt;="&amp;DATE(YEAR($B$5),MONTH($B$5),27))&gt;0,"OCCUPATA","LIBERA")</f>
        <v>0</v>
      </c>
      <c r="AC11" s="11">
        <f>IF(COUNTIFS('Prenotazioni'!$D:$D,$A11,'Prenotazioni'!$B:$B,"&lt;"&amp;DATE(YEAR($B$5),MONTH($B$5),28+1),'Prenotazioni'!$C:$C,"&gt;="&amp;DATE(YEAR($B$5),MONTH($B$5),28))&gt;0,"OCCUPATA","LIBERA")</f>
        <v>0</v>
      </c>
      <c r="AD11" s="11">
        <f>IF(COUNTIFS('Prenotazioni'!$D:$D,$A11,'Prenotazioni'!$B:$B,"&lt;"&amp;DATE(YEAR($B$5),MONTH($B$5),29+1),'Prenotazioni'!$C:$C,"&gt;="&amp;DATE(YEAR($B$5),MONTH($B$5),29))&gt;0,"OCCUPATA","LIBERA")</f>
        <v>0</v>
      </c>
      <c r="AE11" s="11">
        <f>IF(COUNTIFS('Prenotazioni'!$D:$D,$A11,'Prenotazioni'!$B:$B,"&lt;"&amp;DATE(YEAR($B$5),MONTH($B$5),30+1),'Prenotazioni'!$C:$C,"&gt;="&amp;DATE(YEAR($B$5),MONTH($B$5),30))&gt;0,"OCCUPATA","LIBERA")</f>
        <v>0</v>
      </c>
      <c r="AF11" s="11">
        <f>IF(COUNTIFS('Prenotazioni'!$D:$D,$A11,'Prenotazioni'!$B:$B,"&lt;"&amp;DATE(YEAR($B$5),MONTH($B$5),31+1),'Prenotazioni'!$C:$C,"&gt;="&amp;DATE(YEAR($B$5),MONTH($B$5),31))&gt;0,"OCCUPATA","LIBERA")</f>
        <v>0</v>
      </c>
    </row>
    <row r="12" ht="21" customHeight="1">
      <c r="A12" t="inlineStr" s="15">
        <is>
          <t xml:space="preserve">Risorsa 05</t>
        </is>
      </c>
      <c r="B12" s="11">
        <f>IF(COUNTIFS('Prenotazioni'!$D:$D,$A12,'Prenotazioni'!$B:$B,"&lt;"&amp;DATE(YEAR($B$5),MONTH($B$5),1+1),'Prenotazioni'!$C:$C,"&gt;="&amp;DATE(YEAR($B$5),MONTH($B$5),1))&gt;0,"OCCUPATA","LIBERA")</f>
        <v>0</v>
      </c>
      <c r="C12" s="11">
        <f>IF(COUNTIFS('Prenotazioni'!$D:$D,$A12,'Prenotazioni'!$B:$B,"&lt;"&amp;DATE(YEAR($B$5),MONTH($B$5),2+1),'Prenotazioni'!$C:$C,"&gt;="&amp;DATE(YEAR($B$5),MONTH($B$5),2))&gt;0,"OCCUPATA","LIBERA")</f>
        <v>0</v>
      </c>
      <c r="D12" s="11">
        <f>IF(COUNTIFS('Prenotazioni'!$D:$D,$A12,'Prenotazioni'!$B:$B,"&lt;"&amp;DATE(YEAR($B$5),MONTH($B$5),3+1),'Prenotazioni'!$C:$C,"&gt;="&amp;DATE(YEAR($B$5),MONTH($B$5),3))&gt;0,"OCCUPATA","LIBERA")</f>
        <v>0</v>
      </c>
      <c r="E12" s="11">
        <f>IF(COUNTIFS('Prenotazioni'!$D:$D,$A12,'Prenotazioni'!$B:$B,"&lt;"&amp;DATE(YEAR($B$5),MONTH($B$5),4+1),'Prenotazioni'!$C:$C,"&gt;="&amp;DATE(YEAR($B$5),MONTH($B$5),4))&gt;0,"OCCUPATA","LIBERA")</f>
        <v>0</v>
      </c>
      <c r="F12" s="11">
        <f>IF(COUNTIFS('Prenotazioni'!$D:$D,$A12,'Prenotazioni'!$B:$B,"&lt;"&amp;DATE(YEAR($B$5),MONTH($B$5),5+1),'Prenotazioni'!$C:$C,"&gt;="&amp;DATE(YEAR($B$5),MONTH($B$5),5))&gt;0,"OCCUPATA","LIBERA")</f>
        <v>0</v>
      </c>
      <c r="G12" s="11">
        <f>IF(COUNTIFS('Prenotazioni'!$D:$D,$A12,'Prenotazioni'!$B:$B,"&lt;"&amp;DATE(YEAR($B$5),MONTH($B$5),6+1),'Prenotazioni'!$C:$C,"&gt;="&amp;DATE(YEAR($B$5),MONTH($B$5),6))&gt;0,"OCCUPATA","LIBERA")</f>
        <v>0</v>
      </c>
      <c r="H12" s="11">
        <f>IF(COUNTIFS('Prenotazioni'!$D:$D,$A12,'Prenotazioni'!$B:$B,"&lt;"&amp;DATE(YEAR($B$5),MONTH($B$5),7+1),'Prenotazioni'!$C:$C,"&gt;="&amp;DATE(YEAR($B$5),MONTH($B$5),7))&gt;0,"OCCUPATA","LIBERA")</f>
        <v>0</v>
      </c>
      <c r="I12" s="11">
        <f>IF(COUNTIFS('Prenotazioni'!$D:$D,$A12,'Prenotazioni'!$B:$B,"&lt;"&amp;DATE(YEAR($B$5),MONTH($B$5),8+1),'Prenotazioni'!$C:$C,"&gt;="&amp;DATE(YEAR($B$5),MONTH($B$5),8))&gt;0,"OCCUPATA","LIBERA")</f>
        <v>0</v>
      </c>
      <c r="J12" s="11">
        <f>IF(COUNTIFS('Prenotazioni'!$D:$D,$A12,'Prenotazioni'!$B:$B,"&lt;"&amp;DATE(YEAR($B$5),MONTH($B$5),9+1),'Prenotazioni'!$C:$C,"&gt;="&amp;DATE(YEAR($B$5),MONTH($B$5),9))&gt;0,"OCCUPATA","LIBERA")</f>
        <v>0</v>
      </c>
      <c r="K12" s="11">
        <f>IF(COUNTIFS('Prenotazioni'!$D:$D,$A12,'Prenotazioni'!$B:$B,"&lt;"&amp;DATE(YEAR($B$5),MONTH($B$5),10+1),'Prenotazioni'!$C:$C,"&gt;="&amp;DATE(YEAR($B$5),MONTH($B$5),10))&gt;0,"OCCUPATA","LIBERA")</f>
        <v>0</v>
      </c>
      <c r="L12" s="11">
        <f>IF(COUNTIFS('Prenotazioni'!$D:$D,$A12,'Prenotazioni'!$B:$B,"&lt;"&amp;DATE(YEAR($B$5),MONTH($B$5),11+1),'Prenotazioni'!$C:$C,"&gt;="&amp;DATE(YEAR($B$5),MONTH($B$5),11))&gt;0,"OCCUPATA","LIBERA")</f>
        <v>0</v>
      </c>
      <c r="M12" s="11">
        <f>IF(COUNTIFS('Prenotazioni'!$D:$D,$A12,'Prenotazioni'!$B:$B,"&lt;"&amp;DATE(YEAR($B$5),MONTH($B$5),12+1),'Prenotazioni'!$C:$C,"&gt;="&amp;DATE(YEAR($B$5),MONTH($B$5),12))&gt;0,"OCCUPATA","LIBERA")</f>
        <v>0</v>
      </c>
      <c r="N12" s="11">
        <f>IF(COUNTIFS('Prenotazioni'!$D:$D,$A12,'Prenotazioni'!$B:$B,"&lt;"&amp;DATE(YEAR($B$5),MONTH($B$5),13+1),'Prenotazioni'!$C:$C,"&gt;="&amp;DATE(YEAR($B$5),MONTH($B$5),13))&gt;0,"OCCUPATA","LIBERA")</f>
        <v>0</v>
      </c>
      <c r="O12" s="11">
        <f>IF(COUNTIFS('Prenotazioni'!$D:$D,$A12,'Prenotazioni'!$B:$B,"&lt;"&amp;DATE(YEAR($B$5),MONTH($B$5),14+1),'Prenotazioni'!$C:$C,"&gt;="&amp;DATE(YEAR($B$5),MONTH($B$5),14))&gt;0,"OCCUPATA","LIBERA")</f>
        <v>0</v>
      </c>
      <c r="P12" s="11">
        <f>IF(COUNTIFS('Prenotazioni'!$D:$D,$A12,'Prenotazioni'!$B:$B,"&lt;"&amp;DATE(YEAR($B$5),MONTH($B$5),15+1),'Prenotazioni'!$C:$C,"&gt;="&amp;DATE(YEAR($B$5),MONTH($B$5),15))&gt;0,"OCCUPATA","LIBERA")</f>
        <v>0</v>
      </c>
      <c r="Q12" s="11">
        <f>IF(COUNTIFS('Prenotazioni'!$D:$D,$A12,'Prenotazioni'!$B:$B,"&lt;"&amp;DATE(YEAR($B$5),MONTH($B$5),16+1),'Prenotazioni'!$C:$C,"&gt;="&amp;DATE(YEAR($B$5),MONTH($B$5),16))&gt;0,"OCCUPATA","LIBERA")</f>
        <v>0</v>
      </c>
      <c r="R12" s="11">
        <f>IF(COUNTIFS('Prenotazioni'!$D:$D,$A12,'Prenotazioni'!$B:$B,"&lt;"&amp;DATE(YEAR($B$5),MONTH($B$5),17+1),'Prenotazioni'!$C:$C,"&gt;="&amp;DATE(YEAR($B$5),MONTH($B$5),17))&gt;0,"OCCUPATA","LIBERA")</f>
        <v>0</v>
      </c>
      <c r="S12" s="11">
        <f>IF(COUNTIFS('Prenotazioni'!$D:$D,$A12,'Prenotazioni'!$B:$B,"&lt;"&amp;DATE(YEAR($B$5),MONTH($B$5),18+1),'Prenotazioni'!$C:$C,"&gt;="&amp;DATE(YEAR($B$5),MONTH($B$5),18))&gt;0,"OCCUPATA","LIBERA")</f>
        <v>0</v>
      </c>
      <c r="T12" s="11">
        <f>IF(COUNTIFS('Prenotazioni'!$D:$D,$A12,'Prenotazioni'!$B:$B,"&lt;"&amp;DATE(YEAR($B$5),MONTH($B$5),19+1),'Prenotazioni'!$C:$C,"&gt;="&amp;DATE(YEAR($B$5),MONTH($B$5),19))&gt;0,"OCCUPATA","LIBERA")</f>
        <v>0</v>
      </c>
      <c r="U12" s="11">
        <f>IF(COUNTIFS('Prenotazioni'!$D:$D,$A12,'Prenotazioni'!$B:$B,"&lt;"&amp;DATE(YEAR($B$5),MONTH($B$5),20+1),'Prenotazioni'!$C:$C,"&gt;="&amp;DATE(YEAR($B$5),MONTH($B$5),20))&gt;0,"OCCUPATA","LIBERA")</f>
        <v>0</v>
      </c>
      <c r="V12" s="11">
        <f>IF(COUNTIFS('Prenotazioni'!$D:$D,$A12,'Prenotazioni'!$B:$B,"&lt;"&amp;DATE(YEAR($B$5),MONTH($B$5),21+1),'Prenotazioni'!$C:$C,"&gt;="&amp;DATE(YEAR($B$5),MONTH($B$5),21))&gt;0,"OCCUPATA","LIBERA")</f>
        <v>0</v>
      </c>
      <c r="W12" s="11">
        <f>IF(COUNTIFS('Prenotazioni'!$D:$D,$A12,'Prenotazioni'!$B:$B,"&lt;"&amp;DATE(YEAR($B$5),MONTH($B$5),22+1),'Prenotazioni'!$C:$C,"&gt;="&amp;DATE(YEAR($B$5),MONTH($B$5),22))&gt;0,"OCCUPATA","LIBERA")</f>
        <v>0</v>
      </c>
      <c r="X12" s="11">
        <f>IF(COUNTIFS('Prenotazioni'!$D:$D,$A12,'Prenotazioni'!$B:$B,"&lt;"&amp;DATE(YEAR($B$5),MONTH($B$5),23+1),'Prenotazioni'!$C:$C,"&gt;="&amp;DATE(YEAR($B$5),MONTH($B$5),23))&gt;0,"OCCUPATA","LIBERA")</f>
        <v>0</v>
      </c>
      <c r="Y12" s="11">
        <f>IF(COUNTIFS('Prenotazioni'!$D:$D,$A12,'Prenotazioni'!$B:$B,"&lt;"&amp;DATE(YEAR($B$5),MONTH($B$5),24+1),'Prenotazioni'!$C:$C,"&gt;="&amp;DATE(YEAR($B$5),MONTH($B$5),24))&gt;0,"OCCUPATA","LIBERA")</f>
        <v>0</v>
      </c>
      <c r="Z12" s="11">
        <f>IF(COUNTIFS('Prenotazioni'!$D:$D,$A12,'Prenotazioni'!$B:$B,"&lt;"&amp;DATE(YEAR($B$5),MONTH($B$5),25+1),'Prenotazioni'!$C:$C,"&gt;="&amp;DATE(YEAR($B$5),MONTH($B$5),25))&gt;0,"OCCUPATA","LIBERA")</f>
        <v>0</v>
      </c>
      <c r="AA12" s="11">
        <f>IF(COUNTIFS('Prenotazioni'!$D:$D,$A12,'Prenotazioni'!$B:$B,"&lt;"&amp;DATE(YEAR($B$5),MONTH($B$5),26+1),'Prenotazioni'!$C:$C,"&gt;="&amp;DATE(YEAR($B$5),MONTH($B$5),26))&gt;0,"OCCUPATA","LIBERA")</f>
        <v>0</v>
      </c>
      <c r="AB12" s="11">
        <f>IF(COUNTIFS('Prenotazioni'!$D:$D,$A12,'Prenotazioni'!$B:$B,"&lt;"&amp;DATE(YEAR($B$5),MONTH($B$5),27+1),'Prenotazioni'!$C:$C,"&gt;="&amp;DATE(YEAR($B$5),MONTH($B$5),27))&gt;0,"OCCUPATA","LIBERA")</f>
        <v>0</v>
      </c>
      <c r="AC12" s="11">
        <f>IF(COUNTIFS('Prenotazioni'!$D:$D,$A12,'Prenotazioni'!$B:$B,"&lt;"&amp;DATE(YEAR($B$5),MONTH($B$5),28+1),'Prenotazioni'!$C:$C,"&gt;="&amp;DATE(YEAR($B$5),MONTH($B$5),28))&gt;0,"OCCUPATA","LIBERA")</f>
        <v>0</v>
      </c>
      <c r="AD12" s="11">
        <f>IF(COUNTIFS('Prenotazioni'!$D:$D,$A12,'Prenotazioni'!$B:$B,"&lt;"&amp;DATE(YEAR($B$5),MONTH($B$5),29+1),'Prenotazioni'!$C:$C,"&gt;="&amp;DATE(YEAR($B$5),MONTH($B$5),29))&gt;0,"OCCUPATA","LIBERA")</f>
        <v>0</v>
      </c>
      <c r="AE12" s="11">
        <f>IF(COUNTIFS('Prenotazioni'!$D:$D,$A12,'Prenotazioni'!$B:$B,"&lt;"&amp;DATE(YEAR($B$5),MONTH($B$5),30+1),'Prenotazioni'!$C:$C,"&gt;="&amp;DATE(YEAR($B$5),MONTH($B$5),30))&gt;0,"OCCUPATA","LIBERA")</f>
        <v>0</v>
      </c>
      <c r="AF12" s="11">
        <f>IF(COUNTIFS('Prenotazioni'!$D:$D,$A12,'Prenotazioni'!$B:$B,"&lt;"&amp;DATE(YEAR($B$5),MONTH($B$5),31+1),'Prenotazioni'!$C:$C,"&gt;="&amp;DATE(YEAR($B$5),MONTH($B$5),31))&gt;0,"OCCUPATA","LIBERA")</f>
        <v>0</v>
      </c>
    </row>
    <row r="13" ht="21" customHeight="1">
      <c r="A13" t="inlineStr" s="15">
        <is>
          <t xml:space="preserve">Risorsa 06</t>
        </is>
      </c>
      <c r="B13" s="11">
        <f>IF(COUNTIFS('Prenotazioni'!$D:$D,$A13,'Prenotazioni'!$B:$B,"&lt;"&amp;DATE(YEAR($B$5),MONTH($B$5),1+1),'Prenotazioni'!$C:$C,"&gt;="&amp;DATE(YEAR($B$5),MONTH($B$5),1))&gt;0,"OCCUPATA","LIBERA")</f>
        <v>0</v>
      </c>
      <c r="C13" s="11">
        <f>IF(COUNTIFS('Prenotazioni'!$D:$D,$A13,'Prenotazioni'!$B:$B,"&lt;"&amp;DATE(YEAR($B$5),MONTH($B$5),2+1),'Prenotazioni'!$C:$C,"&gt;="&amp;DATE(YEAR($B$5),MONTH($B$5),2))&gt;0,"OCCUPATA","LIBERA")</f>
        <v>0</v>
      </c>
      <c r="D13" s="11">
        <f>IF(COUNTIFS('Prenotazioni'!$D:$D,$A13,'Prenotazioni'!$B:$B,"&lt;"&amp;DATE(YEAR($B$5),MONTH($B$5),3+1),'Prenotazioni'!$C:$C,"&gt;="&amp;DATE(YEAR($B$5),MONTH($B$5),3))&gt;0,"OCCUPATA","LIBERA")</f>
        <v>0</v>
      </c>
      <c r="E13" s="11">
        <f>IF(COUNTIFS('Prenotazioni'!$D:$D,$A13,'Prenotazioni'!$B:$B,"&lt;"&amp;DATE(YEAR($B$5),MONTH($B$5),4+1),'Prenotazioni'!$C:$C,"&gt;="&amp;DATE(YEAR($B$5),MONTH($B$5),4))&gt;0,"OCCUPATA","LIBERA")</f>
        <v>0</v>
      </c>
      <c r="F13" s="11">
        <f>IF(COUNTIFS('Prenotazioni'!$D:$D,$A13,'Prenotazioni'!$B:$B,"&lt;"&amp;DATE(YEAR($B$5),MONTH($B$5),5+1),'Prenotazioni'!$C:$C,"&gt;="&amp;DATE(YEAR($B$5),MONTH($B$5),5))&gt;0,"OCCUPATA","LIBERA")</f>
        <v>0</v>
      </c>
      <c r="G13" s="11">
        <f>IF(COUNTIFS('Prenotazioni'!$D:$D,$A13,'Prenotazioni'!$B:$B,"&lt;"&amp;DATE(YEAR($B$5),MONTH($B$5),6+1),'Prenotazioni'!$C:$C,"&gt;="&amp;DATE(YEAR($B$5),MONTH($B$5),6))&gt;0,"OCCUPATA","LIBERA")</f>
        <v>0</v>
      </c>
      <c r="H13" s="11">
        <f>IF(COUNTIFS('Prenotazioni'!$D:$D,$A13,'Prenotazioni'!$B:$B,"&lt;"&amp;DATE(YEAR($B$5),MONTH($B$5),7+1),'Prenotazioni'!$C:$C,"&gt;="&amp;DATE(YEAR($B$5),MONTH($B$5),7))&gt;0,"OCCUPATA","LIBERA")</f>
        <v>0</v>
      </c>
      <c r="I13" s="11">
        <f>IF(COUNTIFS('Prenotazioni'!$D:$D,$A13,'Prenotazioni'!$B:$B,"&lt;"&amp;DATE(YEAR($B$5),MONTH($B$5),8+1),'Prenotazioni'!$C:$C,"&gt;="&amp;DATE(YEAR($B$5),MONTH($B$5),8))&gt;0,"OCCUPATA","LIBERA")</f>
        <v>0</v>
      </c>
      <c r="J13" s="11">
        <f>IF(COUNTIFS('Prenotazioni'!$D:$D,$A13,'Prenotazioni'!$B:$B,"&lt;"&amp;DATE(YEAR($B$5),MONTH($B$5),9+1),'Prenotazioni'!$C:$C,"&gt;="&amp;DATE(YEAR($B$5),MONTH($B$5),9))&gt;0,"OCCUPATA","LIBERA")</f>
        <v>0</v>
      </c>
      <c r="K13" s="11">
        <f>IF(COUNTIFS('Prenotazioni'!$D:$D,$A13,'Prenotazioni'!$B:$B,"&lt;"&amp;DATE(YEAR($B$5),MONTH($B$5),10+1),'Prenotazioni'!$C:$C,"&gt;="&amp;DATE(YEAR($B$5),MONTH($B$5),10))&gt;0,"OCCUPATA","LIBERA")</f>
        <v>0</v>
      </c>
      <c r="L13" s="11">
        <f>IF(COUNTIFS('Prenotazioni'!$D:$D,$A13,'Prenotazioni'!$B:$B,"&lt;"&amp;DATE(YEAR($B$5),MONTH($B$5),11+1),'Prenotazioni'!$C:$C,"&gt;="&amp;DATE(YEAR($B$5),MONTH($B$5),11))&gt;0,"OCCUPATA","LIBERA")</f>
        <v>0</v>
      </c>
      <c r="M13" s="11">
        <f>IF(COUNTIFS('Prenotazioni'!$D:$D,$A13,'Prenotazioni'!$B:$B,"&lt;"&amp;DATE(YEAR($B$5),MONTH($B$5),12+1),'Prenotazioni'!$C:$C,"&gt;="&amp;DATE(YEAR($B$5),MONTH($B$5),12))&gt;0,"OCCUPATA","LIBERA")</f>
        <v>0</v>
      </c>
      <c r="N13" s="11">
        <f>IF(COUNTIFS('Prenotazioni'!$D:$D,$A13,'Prenotazioni'!$B:$B,"&lt;"&amp;DATE(YEAR($B$5),MONTH($B$5),13+1),'Prenotazioni'!$C:$C,"&gt;="&amp;DATE(YEAR($B$5),MONTH($B$5),13))&gt;0,"OCCUPATA","LIBERA")</f>
        <v>0</v>
      </c>
      <c r="O13" s="11">
        <f>IF(COUNTIFS('Prenotazioni'!$D:$D,$A13,'Prenotazioni'!$B:$B,"&lt;"&amp;DATE(YEAR($B$5),MONTH($B$5),14+1),'Prenotazioni'!$C:$C,"&gt;="&amp;DATE(YEAR($B$5),MONTH($B$5),14))&gt;0,"OCCUPATA","LIBERA")</f>
        <v>0</v>
      </c>
      <c r="P13" s="11">
        <f>IF(COUNTIFS('Prenotazioni'!$D:$D,$A13,'Prenotazioni'!$B:$B,"&lt;"&amp;DATE(YEAR($B$5),MONTH($B$5),15+1),'Prenotazioni'!$C:$C,"&gt;="&amp;DATE(YEAR($B$5),MONTH($B$5),15))&gt;0,"OCCUPATA","LIBERA")</f>
        <v>0</v>
      </c>
      <c r="Q13" s="11">
        <f>IF(COUNTIFS('Prenotazioni'!$D:$D,$A13,'Prenotazioni'!$B:$B,"&lt;"&amp;DATE(YEAR($B$5),MONTH($B$5),16+1),'Prenotazioni'!$C:$C,"&gt;="&amp;DATE(YEAR($B$5),MONTH($B$5),16))&gt;0,"OCCUPATA","LIBERA")</f>
        <v>0</v>
      </c>
      <c r="R13" s="11">
        <f>IF(COUNTIFS('Prenotazioni'!$D:$D,$A13,'Prenotazioni'!$B:$B,"&lt;"&amp;DATE(YEAR($B$5),MONTH($B$5),17+1),'Prenotazioni'!$C:$C,"&gt;="&amp;DATE(YEAR($B$5),MONTH($B$5),17))&gt;0,"OCCUPATA","LIBERA")</f>
        <v>0</v>
      </c>
      <c r="S13" s="11">
        <f>IF(COUNTIFS('Prenotazioni'!$D:$D,$A13,'Prenotazioni'!$B:$B,"&lt;"&amp;DATE(YEAR($B$5),MONTH($B$5),18+1),'Prenotazioni'!$C:$C,"&gt;="&amp;DATE(YEAR($B$5),MONTH($B$5),18))&gt;0,"OCCUPATA","LIBERA")</f>
        <v>0</v>
      </c>
      <c r="T13" s="11">
        <f>IF(COUNTIFS('Prenotazioni'!$D:$D,$A13,'Prenotazioni'!$B:$B,"&lt;"&amp;DATE(YEAR($B$5),MONTH($B$5),19+1),'Prenotazioni'!$C:$C,"&gt;="&amp;DATE(YEAR($B$5),MONTH($B$5),19))&gt;0,"OCCUPATA","LIBERA")</f>
        <v>0</v>
      </c>
      <c r="U13" s="11">
        <f>IF(COUNTIFS('Prenotazioni'!$D:$D,$A13,'Prenotazioni'!$B:$B,"&lt;"&amp;DATE(YEAR($B$5),MONTH($B$5),20+1),'Prenotazioni'!$C:$C,"&gt;="&amp;DATE(YEAR($B$5),MONTH($B$5),20))&gt;0,"OCCUPATA","LIBERA")</f>
        <v>0</v>
      </c>
      <c r="V13" s="11">
        <f>IF(COUNTIFS('Prenotazioni'!$D:$D,$A13,'Prenotazioni'!$B:$B,"&lt;"&amp;DATE(YEAR($B$5),MONTH($B$5),21+1),'Prenotazioni'!$C:$C,"&gt;="&amp;DATE(YEAR($B$5),MONTH($B$5),21))&gt;0,"OCCUPATA","LIBERA")</f>
        <v>0</v>
      </c>
      <c r="W13" s="11">
        <f>IF(COUNTIFS('Prenotazioni'!$D:$D,$A13,'Prenotazioni'!$B:$B,"&lt;"&amp;DATE(YEAR($B$5),MONTH($B$5),22+1),'Prenotazioni'!$C:$C,"&gt;="&amp;DATE(YEAR($B$5),MONTH($B$5),22))&gt;0,"OCCUPATA","LIBERA")</f>
        <v>0</v>
      </c>
      <c r="X13" s="11">
        <f>IF(COUNTIFS('Prenotazioni'!$D:$D,$A13,'Prenotazioni'!$B:$B,"&lt;"&amp;DATE(YEAR($B$5),MONTH($B$5),23+1),'Prenotazioni'!$C:$C,"&gt;="&amp;DATE(YEAR($B$5),MONTH($B$5),23))&gt;0,"OCCUPATA","LIBERA")</f>
        <v>0</v>
      </c>
      <c r="Y13" s="11">
        <f>IF(COUNTIFS('Prenotazioni'!$D:$D,$A13,'Prenotazioni'!$B:$B,"&lt;"&amp;DATE(YEAR($B$5),MONTH($B$5),24+1),'Prenotazioni'!$C:$C,"&gt;="&amp;DATE(YEAR($B$5),MONTH($B$5),24))&gt;0,"OCCUPATA","LIBERA")</f>
        <v>0</v>
      </c>
      <c r="Z13" s="11">
        <f>IF(COUNTIFS('Prenotazioni'!$D:$D,$A13,'Prenotazioni'!$B:$B,"&lt;"&amp;DATE(YEAR($B$5),MONTH($B$5),25+1),'Prenotazioni'!$C:$C,"&gt;="&amp;DATE(YEAR($B$5),MONTH($B$5),25))&gt;0,"OCCUPATA","LIBERA")</f>
        <v>0</v>
      </c>
      <c r="AA13" s="11">
        <f>IF(COUNTIFS('Prenotazioni'!$D:$D,$A13,'Prenotazioni'!$B:$B,"&lt;"&amp;DATE(YEAR($B$5),MONTH($B$5),26+1),'Prenotazioni'!$C:$C,"&gt;="&amp;DATE(YEAR($B$5),MONTH($B$5),26))&gt;0,"OCCUPATA","LIBERA")</f>
        <v>0</v>
      </c>
      <c r="AB13" s="11">
        <f>IF(COUNTIFS('Prenotazioni'!$D:$D,$A13,'Prenotazioni'!$B:$B,"&lt;"&amp;DATE(YEAR($B$5),MONTH($B$5),27+1),'Prenotazioni'!$C:$C,"&gt;="&amp;DATE(YEAR($B$5),MONTH($B$5),27))&gt;0,"OCCUPATA","LIBERA")</f>
        <v>0</v>
      </c>
      <c r="AC13" s="11">
        <f>IF(COUNTIFS('Prenotazioni'!$D:$D,$A13,'Prenotazioni'!$B:$B,"&lt;"&amp;DATE(YEAR($B$5),MONTH($B$5),28+1),'Prenotazioni'!$C:$C,"&gt;="&amp;DATE(YEAR($B$5),MONTH($B$5),28))&gt;0,"OCCUPATA","LIBERA")</f>
        <v>0</v>
      </c>
      <c r="AD13" s="11">
        <f>IF(COUNTIFS('Prenotazioni'!$D:$D,$A13,'Prenotazioni'!$B:$B,"&lt;"&amp;DATE(YEAR($B$5),MONTH($B$5),29+1),'Prenotazioni'!$C:$C,"&gt;="&amp;DATE(YEAR($B$5),MONTH($B$5),29))&gt;0,"OCCUPATA","LIBERA")</f>
        <v>0</v>
      </c>
      <c r="AE13" s="11">
        <f>IF(COUNTIFS('Prenotazioni'!$D:$D,$A13,'Prenotazioni'!$B:$B,"&lt;"&amp;DATE(YEAR($B$5),MONTH($B$5),30+1),'Prenotazioni'!$C:$C,"&gt;="&amp;DATE(YEAR($B$5),MONTH($B$5),30))&gt;0,"OCCUPATA","LIBERA")</f>
        <v>0</v>
      </c>
      <c r="AF13" s="11">
        <f>IF(COUNTIFS('Prenotazioni'!$D:$D,$A13,'Prenotazioni'!$B:$B,"&lt;"&amp;DATE(YEAR($B$5),MONTH($B$5),31+1),'Prenotazioni'!$C:$C,"&gt;="&amp;DATE(YEAR($B$5),MONTH($B$5),31))&gt;0,"OCCUPATA","LIBERA")</f>
        <v>0</v>
      </c>
    </row>
    <row r="14" ht="21" customHeight="1">
      <c r="A14" t="inlineStr" s="15">
        <is>
          <t xml:space="preserve">Risorsa 07</t>
        </is>
      </c>
      <c r="B14" s="11">
        <f>IF(COUNTIFS('Prenotazioni'!$D:$D,$A14,'Prenotazioni'!$B:$B,"&lt;"&amp;DATE(YEAR($B$5),MONTH($B$5),1+1),'Prenotazioni'!$C:$C,"&gt;="&amp;DATE(YEAR($B$5),MONTH($B$5),1))&gt;0,"OCCUPATA","LIBERA")</f>
        <v>0</v>
      </c>
      <c r="C14" s="11">
        <f>IF(COUNTIFS('Prenotazioni'!$D:$D,$A14,'Prenotazioni'!$B:$B,"&lt;"&amp;DATE(YEAR($B$5),MONTH($B$5),2+1),'Prenotazioni'!$C:$C,"&gt;="&amp;DATE(YEAR($B$5),MONTH($B$5),2))&gt;0,"OCCUPATA","LIBERA")</f>
        <v>0</v>
      </c>
      <c r="D14" s="11">
        <f>IF(COUNTIFS('Prenotazioni'!$D:$D,$A14,'Prenotazioni'!$B:$B,"&lt;"&amp;DATE(YEAR($B$5),MONTH($B$5),3+1),'Prenotazioni'!$C:$C,"&gt;="&amp;DATE(YEAR($B$5),MONTH($B$5),3))&gt;0,"OCCUPATA","LIBERA")</f>
        <v>0</v>
      </c>
      <c r="E14" s="11">
        <f>IF(COUNTIFS('Prenotazioni'!$D:$D,$A14,'Prenotazioni'!$B:$B,"&lt;"&amp;DATE(YEAR($B$5),MONTH($B$5),4+1),'Prenotazioni'!$C:$C,"&gt;="&amp;DATE(YEAR($B$5),MONTH($B$5),4))&gt;0,"OCCUPATA","LIBERA")</f>
        <v>0</v>
      </c>
      <c r="F14" s="11">
        <f>IF(COUNTIFS('Prenotazioni'!$D:$D,$A14,'Prenotazioni'!$B:$B,"&lt;"&amp;DATE(YEAR($B$5),MONTH($B$5),5+1),'Prenotazioni'!$C:$C,"&gt;="&amp;DATE(YEAR($B$5),MONTH($B$5),5))&gt;0,"OCCUPATA","LIBERA")</f>
        <v>0</v>
      </c>
      <c r="G14" s="11">
        <f>IF(COUNTIFS('Prenotazioni'!$D:$D,$A14,'Prenotazioni'!$B:$B,"&lt;"&amp;DATE(YEAR($B$5),MONTH($B$5),6+1),'Prenotazioni'!$C:$C,"&gt;="&amp;DATE(YEAR($B$5),MONTH($B$5),6))&gt;0,"OCCUPATA","LIBERA")</f>
        <v>0</v>
      </c>
      <c r="H14" s="11">
        <f>IF(COUNTIFS('Prenotazioni'!$D:$D,$A14,'Prenotazioni'!$B:$B,"&lt;"&amp;DATE(YEAR($B$5),MONTH($B$5),7+1),'Prenotazioni'!$C:$C,"&gt;="&amp;DATE(YEAR($B$5),MONTH($B$5),7))&gt;0,"OCCUPATA","LIBERA")</f>
        <v>0</v>
      </c>
      <c r="I14" s="11">
        <f>IF(COUNTIFS('Prenotazioni'!$D:$D,$A14,'Prenotazioni'!$B:$B,"&lt;"&amp;DATE(YEAR($B$5),MONTH($B$5),8+1),'Prenotazioni'!$C:$C,"&gt;="&amp;DATE(YEAR($B$5),MONTH($B$5),8))&gt;0,"OCCUPATA","LIBERA")</f>
        <v>0</v>
      </c>
      <c r="J14" s="11">
        <f>IF(COUNTIFS('Prenotazioni'!$D:$D,$A14,'Prenotazioni'!$B:$B,"&lt;"&amp;DATE(YEAR($B$5),MONTH($B$5),9+1),'Prenotazioni'!$C:$C,"&gt;="&amp;DATE(YEAR($B$5),MONTH($B$5),9))&gt;0,"OCCUPATA","LIBERA")</f>
        <v>0</v>
      </c>
      <c r="K14" s="11">
        <f>IF(COUNTIFS('Prenotazioni'!$D:$D,$A14,'Prenotazioni'!$B:$B,"&lt;"&amp;DATE(YEAR($B$5),MONTH($B$5),10+1),'Prenotazioni'!$C:$C,"&gt;="&amp;DATE(YEAR($B$5),MONTH($B$5),10))&gt;0,"OCCUPATA","LIBERA")</f>
        <v>0</v>
      </c>
      <c r="L14" s="11">
        <f>IF(COUNTIFS('Prenotazioni'!$D:$D,$A14,'Prenotazioni'!$B:$B,"&lt;"&amp;DATE(YEAR($B$5),MONTH($B$5),11+1),'Prenotazioni'!$C:$C,"&gt;="&amp;DATE(YEAR($B$5),MONTH($B$5),11))&gt;0,"OCCUPATA","LIBERA")</f>
        <v>0</v>
      </c>
      <c r="M14" s="11">
        <f>IF(COUNTIFS('Prenotazioni'!$D:$D,$A14,'Prenotazioni'!$B:$B,"&lt;"&amp;DATE(YEAR($B$5),MONTH($B$5),12+1),'Prenotazioni'!$C:$C,"&gt;="&amp;DATE(YEAR($B$5),MONTH($B$5),12))&gt;0,"OCCUPATA","LIBERA")</f>
        <v>0</v>
      </c>
      <c r="N14" s="11">
        <f>IF(COUNTIFS('Prenotazioni'!$D:$D,$A14,'Prenotazioni'!$B:$B,"&lt;"&amp;DATE(YEAR($B$5),MONTH($B$5),13+1),'Prenotazioni'!$C:$C,"&gt;="&amp;DATE(YEAR($B$5),MONTH($B$5),13))&gt;0,"OCCUPATA","LIBERA")</f>
        <v>0</v>
      </c>
      <c r="O14" s="11">
        <f>IF(COUNTIFS('Prenotazioni'!$D:$D,$A14,'Prenotazioni'!$B:$B,"&lt;"&amp;DATE(YEAR($B$5),MONTH($B$5),14+1),'Prenotazioni'!$C:$C,"&gt;="&amp;DATE(YEAR($B$5),MONTH($B$5),14))&gt;0,"OCCUPATA","LIBERA")</f>
        <v>0</v>
      </c>
      <c r="P14" s="11">
        <f>IF(COUNTIFS('Prenotazioni'!$D:$D,$A14,'Prenotazioni'!$B:$B,"&lt;"&amp;DATE(YEAR($B$5),MONTH($B$5),15+1),'Prenotazioni'!$C:$C,"&gt;="&amp;DATE(YEAR($B$5),MONTH($B$5),15))&gt;0,"OCCUPATA","LIBERA")</f>
        <v>0</v>
      </c>
      <c r="Q14" s="11">
        <f>IF(COUNTIFS('Prenotazioni'!$D:$D,$A14,'Prenotazioni'!$B:$B,"&lt;"&amp;DATE(YEAR($B$5),MONTH($B$5),16+1),'Prenotazioni'!$C:$C,"&gt;="&amp;DATE(YEAR($B$5),MONTH($B$5),16))&gt;0,"OCCUPATA","LIBERA")</f>
        <v>0</v>
      </c>
      <c r="R14" s="11">
        <f>IF(COUNTIFS('Prenotazioni'!$D:$D,$A14,'Prenotazioni'!$B:$B,"&lt;"&amp;DATE(YEAR($B$5),MONTH($B$5),17+1),'Prenotazioni'!$C:$C,"&gt;="&amp;DATE(YEAR($B$5),MONTH($B$5),17))&gt;0,"OCCUPATA","LIBERA")</f>
        <v>0</v>
      </c>
      <c r="S14" s="11">
        <f>IF(COUNTIFS('Prenotazioni'!$D:$D,$A14,'Prenotazioni'!$B:$B,"&lt;"&amp;DATE(YEAR($B$5),MONTH($B$5),18+1),'Prenotazioni'!$C:$C,"&gt;="&amp;DATE(YEAR($B$5),MONTH($B$5),18))&gt;0,"OCCUPATA","LIBERA")</f>
        <v>0</v>
      </c>
      <c r="T14" s="11">
        <f>IF(COUNTIFS('Prenotazioni'!$D:$D,$A14,'Prenotazioni'!$B:$B,"&lt;"&amp;DATE(YEAR($B$5),MONTH($B$5),19+1),'Prenotazioni'!$C:$C,"&gt;="&amp;DATE(YEAR($B$5),MONTH($B$5),19))&gt;0,"OCCUPATA","LIBERA")</f>
        <v>0</v>
      </c>
      <c r="U14" s="11">
        <f>IF(COUNTIFS('Prenotazioni'!$D:$D,$A14,'Prenotazioni'!$B:$B,"&lt;"&amp;DATE(YEAR($B$5),MONTH($B$5),20+1),'Prenotazioni'!$C:$C,"&gt;="&amp;DATE(YEAR($B$5),MONTH($B$5),20))&gt;0,"OCCUPATA","LIBERA")</f>
        <v>0</v>
      </c>
      <c r="V14" s="11">
        <f>IF(COUNTIFS('Prenotazioni'!$D:$D,$A14,'Prenotazioni'!$B:$B,"&lt;"&amp;DATE(YEAR($B$5),MONTH($B$5),21+1),'Prenotazioni'!$C:$C,"&gt;="&amp;DATE(YEAR($B$5),MONTH($B$5),21))&gt;0,"OCCUPATA","LIBERA")</f>
        <v>0</v>
      </c>
      <c r="W14" s="11">
        <f>IF(COUNTIFS('Prenotazioni'!$D:$D,$A14,'Prenotazioni'!$B:$B,"&lt;"&amp;DATE(YEAR($B$5),MONTH($B$5),22+1),'Prenotazioni'!$C:$C,"&gt;="&amp;DATE(YEAR($B$5),MONTH($B$5),22))&gt;0,"OCCUPATA","LIBERA")</f>
        <v>0</v>
      </c>
      <c r="X14" s="11">
        <f>IF(COUNTIFS('Prenotazioni'!$D:$D,$A14,'Prenotazioni'!$B:$B,"&lt;"&amp;DATE(YEAR($B$5),MONTH($B$5),23+1),'Prenotazioni'!$C:$C,"&gt;="&amp;DATE(YEAR($B$5),MONTH($B$5),23))&gt;0,"OCCUPATA","LIBERA")</f>
        <v>0</v>
      </c>
      <c r="Y14" s="11">
        <f>IF(COUNTIFS('Prenotazioni'!$D:$D,$A14,'Prenotazioni'!$B:$B,"&lt;"&amp;DATE(YEAR($B$5),MONTH($B$5),24+1),'Prenotazioni'!$C:$C,"&gt;="&amp;DATE(YEAR($B$5),MONTH($B$5),24))&gt;0,"OCCUPATA","LIBERA")</f>
        <v>0</v>
      </c>
      <c r="Z14" s="11">
        <f>IF(COUNTIFS('Prenotazioni'!$D:$D,$A14,'Prenotazioni'!$B:$B,"&lt;"&amp;DATE(YEAR($B$5),MONTH($B$5),25+1),'Prenotazioni'!$C:$C,"&gt;="&amp;DATE(YEAR($B$5),MONTH($B$5),25))&gt;0,"OCCUPATA","LIBERA")</f>
        <v>0</v>
      </c>
      <c r="AA14" s="11">
        <f>IF(COUNTIFS('Prenotazioni'!$D:$D,$A14,'Prenotazioni'!$B:$B,"&lt;"&amp;DATE(YEAR($B$5),MONTH($B$5),26+1),'Prenotazioni'!$C:$C,"&gt;="&amp;DATE(YEAR($B$5),MONTH($B$5),26))&gt;0,"OCCUPATA","LIBERA")</f>
        <v>0</v>
      </c>
      <c r="AB14" s="11">
        <f>IF(COUNTIFS('Prenotazioni'!$D:$D,$A14,'Prenotazioni'!$B:$B,"&lt;"&amp;DATE(YEAR($B$5),MONTH($B$5),27+1),'Prenotazioni'!$C:$C,"&gt;="&amp;DATE(YEAR($B$5),MONTH($B$5),27))&gt;0,"OCCUPATA","LIBERA")</f>
        <v>0</v>
      </c>
      <c r="AC14" s="11">
        <f>IF(COUNTIFS('Prenotazioni'!$D:$D,$A14,'Prenotazioni'!$B:$B,"&lt;"&amp;DATE(YEAR($B$5),MONTH($B$5),28+1),'Prenotazioni'!$C:$C,"&gt;="&amp;DATE(YEAR($B$5),MONTH($B$5),28))&gt;0,"OCCUPATA","LIBERA")</f>
        <v>0</v>
      </c>
      <c r="AD14" s="11">
        <f>IF(COUNTIFS('Prenotazioni'!$D:$D,$A14,'Prenotazioni'!$B:$B,"&lt;"&amp;DATE(YEAR($B$5),MONTH($B$5),29+1),'Prenotazioni'!$C:$C,"&gt;="&amp;DATE(YEAR($B$5),MONTH($B$5),29))&gt;0,"OCCUPATA","LIBERA")</f>
        <v>0</v>
      </c>
      <c r="AE14" s="11">
        <f>IF(COUNTIFS('Prenotazioni'!$D:$D,$A14,'Prenotazioni'!$B:$B,"&lt;"&amp;DATE(YEAR($B$5),MONTH($B$5),30+1),'Prenotazioni'!$C:$C,"&gt;="&amp;DATE(YEAR($B$5),MONTH($B$5),30))&gt;0,"OCCUPATA","LIBERA")</f>
        <v>0</v>
      </c>
      <c r="AF14" s="11">
        <f>IF(COUNTIFS('Prenotazioni'!$D:$D,$A14,'Prenotazioni'!$B:$B,"&lt;"&amp;DATE(YEAR($B$5),MONTH($B$5),31+1),'Prenotazioni'!$C:$C,"&gt;="&amp;DATE(YEAR($B$5),MONTH($B$5),31))&gt;0,"OCCUPATA","LIBERA")</f>
        <v>0</v>
      </c>
    </row>
    <row r="15" ht="21" customHeight="1">
      <c r="A15" t="inlineStr" s="15">
        <is>
          <t xml:space="preserve">Risorsa 08</t>
        </is>
      </c>
      <c r="B15" s="11">
        <f>IF(COUNTIFS('Prenotazioni'!$D:$D,$A15,'Prenotazioni'!$B:$B,"&lt;"&amp;DATE(YEAR($B$5),MONTH($B$5),1+1),'Prenotazioni'!$C:$C,"&gt;="&amp;DATE(YEAR($B$5),MONTH($B$5),1))&gt;0,"OCCUPATA","LIBERA")</f>
        <v>0</v>
      </c>
      <c r="C15" s="11">
        <f>IF(COUNTIFS('Prenotazioni'!$D:$D,$A15,'Prenotazioni'!$B:$B,"&lt;"&amp;DATE(YEAR($B$5),MONTH($B$5),2+1),'Prenotazioni'!$C:$C,"&gt;="&amp;DATE(YEAR($B$5),MONTH($B$5),2))&gt;0,"OCCUPATA","LIBERA")</f>
        <v>0</v>
      </c>
      <c r="D15" s="11">
        <f>IF(COUNTIFS('Prenotazioni'!$D:$D,$A15,'Prenotazioni'!$B:$B,"&lt;"&amp;DATE(YEAR($B$5),MONTH($B$5),3+1),'Prenotazioni'!$C:$C,"&gt;="&amp;DATE(YEAR($B$5),MONTH($B$5),3))&gt;0,"OCCUPATA","LIBERA")</f>
        <v>0</v>
      </c>
      <c r="E15" s="11">
        <f>IF(COUNTIFS('Prenotazioni'!$D:$D,$A15,'Prenotazioni'!$B:$B,"&lt;"&amp;DATE(YEAR($B$5),MONTH($B$5),4+1),'Prenotazioni'!$C:$C,"&gt;="&amp;DATE(YEAR($B$5),MONTH($B$5),4))&gt;0,"OCCUPATA","LIBERA")</f>
        <v>0</v>
      </c>
      <c r="F15" s="11">
        <f>IF(COUNTIFS('Prenotazioni'!$D:$D,$A15,'Prenotazioni'!$B:$B,"&lt;"&amp;DATE(YEAR($B$5),MONTH($B$5),5+1),'Prenotazioni'!$C:$C,"&gt;="&amp;DATE(YEAR($B$5),MONTH($B$5),5))&gt;0,"OCCUPATA","LIBERA")</f>
        <v>0</v>
      </c>
      <c r="G15" s="11">
        <f>IF(COUNTIFS('Prenotazioni'!$D:$D,$A15,'Prenotazioni'!$B:$B,"&lt;"&amp;DATE(YEAR($B$5),MONTH($B$5),6+1),'Prenotazioni'!$C:$C,"&gt;="&amp;DATE(YEAR($B$5),MONTH($B$5),6))&gt;0,"OCCUPATA","LIBERA")</f>
        <v>0</v>
      </c>
      <c r="H15" s="11">
        <f>IF(COUNTIFS('Prenotazioni'!$D:$D,$A15,'Prenotazioni'!$B:$B,"&lt;"&amp;DATE(YEAR($B$5),MONTH($B$5),7+1),'Prenotazioni'!$C:$C,"&gt;="&amp;DATE(YEAR($B$5),MONTH($B$5),7))&gt;0,"OCCUPATA","LIBERA")</f>
        <v>0</v>
      </c>
      <c r="I15" s="11">
        <f>IF(COUNTIFS('Prenotazioni'!$D:$D,$A15,'Prenotazioni'!$B:$B,"&lt;"&amp;DATE(YEAR($B$5),MONTH($B$5),8+1),'Prenotazioni'!$C:$C,"&gt;="&amp;DATE(YEAR($B$5),MONTH($B$5),8))&gt;0,"OCCUPATA","LIBERA")</f>
        <v>0</v>
      </c>
      <c r="J15" s="11">
        <f>IF(COUNTIFS('Prenotazioni'!$D:$D,$A15,'Prenotazioni'!$B:$B,"&lt;"&amp;DATE(YEAR($B$5),MONTH($B$5),9+1),'Prenotazioni'!$C:$C,"&gt;="&amp;DATE(YEAR($B$5),MONTH($B$5),9))&gt;0,"OCCUPATA","LIBERA")</f>
        <v>0</v>
      </c>
      <c r="K15" s="11">
        <f>IF(COUNTIFS('Prenotazioni'!$D:$D,$A15,'Prenotazioni'!$B:$B,"&lt;"&amp;DATE(YEAR($B$5),MONTH($B$5),10+1),'Prenotazioni'!$C:$C,"&gt;="&amp;DATE(YEAR($B$5),MONTH($B$5),10))&gt;0,"OCCUPATA","LIBERA")</f>
        <v>0</v>
      </c>
      <c r="L15" s="11">
        <f>IF(COUNTIFS('Prenotazioni'!$D:$D,$A15,'Prenotazioni'!$B:$B,"&lt;"&amp;DATE(YEAR($B$5),MONTH($B$5),11+1),'Prenotazioni'!$C:$C,"&gt;="&amp;DATE(YEAR($B$5),MONTH($B$5),11))&gt;0,"OCCUPATA","LIBERA")</f>
        <v>0</v>
      </c>
      <c r="M15" s="11">
        <f>IF(COUNTIFS('Prenotazioni'!$D:$D,$A15,'Prenotazioni'!$B:$B,"&lt;"&amp;DATE(YEAR($B$5),MONTH($B$5),12+1),'Prenotazioni'!$C:$C,"&gt;="&amp;DATE(YEAR($B$5),MONTH($B$5),12))&gt;0,"OCCUPATA","LIBERA")</f>
        <v>0</v>
      </c>
      <c r="N15" s="11">
        <f>IF(COUNTIFS('Prenotazioni'!$D:$D,$A15,'Prenotazioni'!$B:$B,"&lt;"&amp;DATE(YEAR($B$5),MONTH($B$5),13+1),'Prenotazioni'!$C:$C,"&gt;="&amp;DATE(YEAR($B$5),MONTH($B$5),13))&gt;0,"OCCUPATA","LIBERA")</f>
        <v>0</v>
      </c>
      <c r="O15" s="11">
        <f>IF(COUNTIFS('Prenotazioni'!$D:$D,$A15,'Prenotazioni'!$B:$B,"&lt;"&amp;DATE(YEAR($B$5),MONTH($B$5),14+1),'Prenotazioni'!$C:$C,"&gt;="&amp;DATE(YEAR($B$5),MONTH($B$5),14))&gt;0,"OCCUPATA","LIBERA")</f>
        <v>0</v>
      </c>
      <c r="P15" s="11">
        <f>IF(COUNTIFS('Prenotazioni'!$D:$D,$A15,'Prenotazioni'!$B:$B,"&lt;"&amp;DATE(YEAR($B$5),MONTH($B$5),15+1),'Prenotazioni'!$C:$C,"&gt;="&amp;DATE(YEAR($B$5),MONTH($B$5),15))&gt;0,"OCCUPATA","LIBERA")</f>
        <v>0</v>
      </c>
      <c r="Q15" s="11">
        <f>IF(COUNTIFS('Prenotazioni'!$D:$D,$A15,'Prenotazioni'!$B:$B,"&lt;"&amp;DATE(YEAR($B$5),MONTH($B$5),16+1),'Prenotazioni'!$C:$C,"&gt;="&amp;DATE(YEAR($B$5),MONTH($B$5),16))&gt;0,"OCCUPATA","LIBERA")</f>
        <v>0</v>
      </c>
      <c r="R15" s="11">
        <f>IF(COUNTIFS('Prenotazioni'!$D:$D,$A15,'Prenotazioni'!$B:$B,"&lt;"&amp;DATE(YEAR($B$5),MONTH($B$5),17+1),'Prenotazioni'!$C:$C,"&gt;="&amp;DATE(YEAR($B$5),MONTH($B$5),17))&gt;0,"OCCUPATA","LIBERA")</f>
        <v>0</v>
      </c>
      <c r="S15" s="11">
        <f>IF(COUNTIFS('Prenotazioni'!$D:$D,$A15,'Prenotazioni'!$B:$B,"&lt;"&amp;DATE(YEAR($B$5),MONTH($B$5),18+1),'Prenotazioni'!$C:$C,"&gt;="&amp;DATE(YEAR($B$5),MONTH($B$5),18))&gt;0,"OCCUPATA","LIBERA")</f>
        <v>0</v>
      </c>
      <c r="T15" s="11">
        <f>IF(COUNTIFS('Prenotazioni'!$D:$D,$A15,'Prenotazioni'!$B:$B,"&lt;"&amp;DATE(YEAR($B$5),MONTH($B$5),19+1),'Prenotazioni'!$C:$C,"&gt;="&amp;DATE(YEAR($B$5),MONTH($B$5),19))&gt;0,"OCCUPATA","LIBERA")</f>
        <v>0</v>
      </c>
      <c r="U15" s="11">
        <f>IF(COUNTIFS('Prenotazioni'!$D:$D,$A15,'Prenotazioni'!$B:$B,"&lt;"&amp;DATE(YEAR($B$5),MONTH($B$5),20+1),'Prenotazioni'!$C:$C,"&gt;="&amp;DATE(YEAR($B$5),MONTH($B$5),20))&gt;0,"OCCUPATA","LIBERA")</f>
        <v>0</v>
      </c>
      <c r="V15" s="11">
        <f>IF(COUNTIFS('Prenotazioni'!$D:$D,$A15,'Prenotazioni'!$B:$B,"&lt;"&amp;DATE(YEAR($B$5),MONTH($B$5),21+1),'Prenotazioni'!$C:$C,"&gt;="&amp;DATE(YEAR($B$5),MONTH($B$5),21))&gt;0,"OCCUPATA","LIBERA")</f>
        <v>0</v>
      </c>
      <c r="W15" s="11">
        <f>IF(COUNTIFS('Prenotazioni'!$D:$D,$A15,'Prenotazioni'!$B:$B,"&lt;"&amp;DATE(YEAR($B$5),MONTH($B$5),22+1),'Prenotazioni'!$C:$C,"&gt;="&amp;DATE(YEAR($B$5),MONTH($B$5),22))&gt;0,"OCCUPATA","LIBERA")</f>
        <v>0</v>
      </c>
      <c r="X15" s="11">
        <f>IF(COUNTIFS('Prenotazioni'!$D:$D,$A15,'Prenotazioni'!$B:$B,"&lt;"&amp;DATE(YEAR($B$5),MONTH($B$5),23+1),'Prenotazioni'!$C:$C,"&gt;="&amp;DATE(YEAR($B$5),MONTH($B$5),23))&gt;0,"OCCUPATA","LIBERA")</f>
        <v>0</v>
      </c>
      <c r="Y15" s="11">
        <f>IF(COUNTIFS('Prenotazioni'!$D:$D,$A15,'Prenotazioni'!$B:$B,"&lt;"&amp;DATE(YEAR($B$5),MONTH($B$5),24+1),'Prenotazioni'!$C:$C,"&gt;="&amp;DATE(YEAR($B$5),MONTH($B$5),24))&gt;0,"OCCUPATA","LIBERA")</f>
        <v>0</v>
      </c>
      <c r="Z15" s="11">
        <f>IF(COUNTIFS('Prenotazioni'!$D:$D,$A15,'Prenotazioni'!$B:$B,"&lt;"&amp;DATE(YEAR($B$5),MONTH($B$5),25+1),'Prenotazioni'!$C:$C,"&gt;="&amp;DATE(YEAR($B$5),MONTH($B$5),25))&gt;0,"OCCUPATA","LIBERA")</f>
        <v>0</v>
      </c>
      <c r="AA15" s="11">
        <f>IF(COUNTIFS('Prenotazioni'!$D:$D,$A15,'Prenotazioni'!$B:$B,"&lt;"&amp;DATE(YEAR($B$5),MONTH($B$5),26+1),'Prenotazioni'!$C:$C,"&gt;="&amp;DATE(YEAR($B$5),MONTH($B$5),26))&gt;0,"OCCUPATA","LIBERA")</f>
        <v>0</v>
      </c>
      <c r="AB15" s="11">
        <f>IF(COUNTIFS('Prenotazioni'!$D:$D,$A15,'Prenotazioni'!$B:$B,"&lt;"&amp;DATE(YEAR($B$5),MONTH($B$5),27+1),'Prenotazioni'!$C:$C,"&gt;="&amp;DATE(YEAR($B$5),MONTH($B$5),27))&gt;0,"OCCUPATA","LIBERA")</f>
        <v>0</v>
      </c>
      <c r="AC15" s="11">
        <f>IF(COUNTIFS('Prenotazioni'!$D:$D,$A15,'Prenotazioni'!$B:$B,"&lt;"&amp;DATE(YEAR($B$5),MONTH($B$5),28+1),'Prenotazioni'!$C:$C,"&gt;="&amp;DATE(YEAR($B$5),MONTH($B$5),28))&gt;0,"OCCUPATA","LIBERA")</f>
        <v>0</v>
      </c>
      <c r="AD15" s="11">
        <f>IF(COUNTIFS('Prenotazioni'!$D:$D,$A15,'Prenotazioni'!$B:$B,"&lt;"&amp;DATE(YEAR($B$5),MONTH($B$5),29+1),'Prenotazioni'!$C:$C,"&gt;="&amp;DATE(YEAR($B$5),MONTH($B$5),29))&gt;0,"OCCUPATA","LIBERA")</f>
        <v>0</v>
      </c>
      <c r="AE15" s="11">
        <f>IF(COUNTIFS('Prenotazioni'!$D:$D,$A15,'Prenotazioni'!$B:$B,"&lt;"&amp;DATE(YEAR($B$5),MONTH($B$5),30+1),'Prenotazioni'!$C:$C,"&gt;="&amp;DATE(YEAR($B$5),MONTH($B$5),30))&gt;0,"OCCUPATA","LIBERA")</f>
        <v>0</v>
      </c>
      <c r="AF15" s="11">
        <f>IF(COUNTIFS('Prenotazioni'!$D:$D,$A15,'Prenotazioni'!$B:$B,"&lt;"&amp;DATE(YEAR($B$5),MONTH($B$5),31+1),'Prenotazioni'!$C:$C,"&gt;="&amp;DATE(YEAR($B$5),MONTH($B$5),31))&gt;0,"OCCUPATA","LIBERA")</f>
        <v>0</v>
      </c>
    </row>
  </sheetData>
  <mergeCells count="2">
    <mergeCell ref="A1:AF2"/>
    <mergeCell ref="A4:AF4"/>
  </mergeCells>
  <conditionalFormatting sqref="B8:AF35">
    <cfRule type="cellIs" dxfId="0" priority="1" operator="equal">
      <formula>"LIBERA"</formula>
    </cfRule>
    <cfRule type="cellIs" dxfId="1" priority="2" operator="equal">
      <formula>"OCCUPATA"</formula>
    </cfRule>
  </conditionalFormatting>
  <pageMargins left="0.3" right="0.3" top="0.5" bottom="0.5" header="0.2" footer="0.2"/>
</worksheet>
</file>

<file path=xl/worksheets/sheet4.xml><?xml version="1.0" encoding="utf-8"?>
<worksheet xmlns="http://schemas.openxmlformats.org/spreadsheetml/2006/main">
  <dimension ref="A1:H22"/>
  <sheetViews>
    <sheetView showGridLines="0" workbookViewId="0">
      <pane ySplit="8" topLeftCell="A9" activePane="bottomLeft" state="frozen"/>
    </sheetView>
  </sheetViews>
  <sheetFormatPr defaultRowHeight="18"/>
  <cols>
    <col min="1" max="1" width="22" customWidth="1"/>
    <col min="2" max="2" width="28" customWidth="1"/>
    <col min="3" max="8" width="18" customWidth="1"/>
  </cols>
  <sheetData>
    <row r="1" ht="30" customHeight="1">
      <c r="A1" t="inlineStr" s="1">
        <is>
          <t xml:space="preserve">Borgo Marina · Listino e regole</t>
        </is>
      </c>
    </row>
    <row r="4" ht="22" customHeight="1">
      <c r="A4" t="inlineStr" s="2">
        <is>
          <t xml:space="preserve">CONFIGURAZIONE BASE</t>
        </is>
      </c>
    </row>
    <row r="5">
      <c r="A5" t="inlineStr" s="10">
        <is>
          <t xml:space="preserve">Prezzo base servizio</t>
        </is>
      </c>
      <c r="B5" s="4">
        <v>35</v>
      </c>
    </row>
    <row r="7" ht="22" customHeight="1">
      <c r="A7" t="inlineStr" s="2">
        <is>
          <t xml:space="preserve">REGOLE DI PREZZO</t>
        </is>
      </c>
    </row>
    <row r="8" ht="22" customHeight="1">
      <c r="A8" t="inlineStr" s="3">
        <is>
          <t xml:space="preserve">Nome</t>
        </is>
      </c>
      <c r="B8" t="inlineStr" s="3">
        <is>
          <t xml:space="preserve">Tipo</t>
        </is>
      </c>
      <c r="C8" t="inlineStr" s="3">
        <is>
          <t xml:space="preserve">Valore</t>
        </is>
      </c>
      <c r="D8" t="inlineStr" s="3">
        <is>
          <t xml:space="preserve">Da</t>
        </is>
      </c>
      <c r="E8" t="inlineStr" s="3">
        <is>
          <t xml:space="preserve">A</t>
        </is>
      </c>
    </row>
    <row r="9">
      <c r="A9" t="inlineStr" s="15">
        <is>
          <t xml:space="preserve">Alta stagione</t>
        </is>
      </c>
      <c r="B9" t="inlineStr">
        <is>
          <t xml:space="preserve">date_range</t>
        </is>
      </c>
      <c r="C9" t="inlineStr">
        <is>
          <t xml:space="preserve"/>
        </is>
      </c>
      <c r="D9" t="inlineStr">
        <is>
          <t xml:space="preserve">2026-08-01</t>
        </is>
      </c>
      <c r="E9" t="inlineStr">
        <is>
          <t xml:space="preserve">2026-08-31</t>
        </is>
      </c>
    </row>
    <row r="10">
      <c r="A10" t="inlineStr" s="15">
        <is>
          <t xml:space="preserve">Weekend</t>
        </is>
      </c>
      <c r="B10" t="inlineStr">
        <is>
          <t xml:space="preserve">weekday_multiplier</t>
        </is>
      </c>
      <c r="C10" t="inlineStr">
        <is>
          <t xml:space="preserve"/>
        </is>
      </c>
      <c r="D10" t="inlineStr">
        <is>
          <t xml:space="preserve"/>
        </is>
      </c>
      <c r="E10" t="inlineStr">
        <is>
          <t xml:space="preserve"/>
        </is>
      </c>
    </row>
    <row r="11">
      <c r="A11" t="inlineStr" s="15">
        <is>
          <t xml:space="preserve">Settimana</t>
        </is>
      </c>
      <c r="B11" t="inlineStr">
        <is>
          <t xml:space="preserve">duration_discount</t>
        </is>
      </c>
      <c r="C11">
        <v>8</v>
      </c>
      <c r="D11">
        <v>7</v>
      </c>
      <c r="E11" t="inlineStr">
        <is>
          <t xml:space="preserve"/>
        </is>
      </c>
    </row>
    <row r="12">
      <c r="A12" t="inlineStr" s="15">
        <is>
          <t xml:space="preserve">Promo ritorno</t>
        </is>
      </c>
      <c r="B12" t="inlineStr">
        <is>
          <t xml:space="preserve">promo</t>
        </is>
      </c>
      <c r="C12">
        <v>10</v>
      </c>
      <c r="D12" t="inlineStr">
        <is>
          <t xml:space="preserve"/>
        </is>
      </c>
      <c r="E12" t="inlineStr">
        <is>
          <t xml:space="preserve"/>
        </is>
      </c>
    </row>
    <row r="14" ht="22" customHeight="1">
      <c r="A14" t="inlineStr" s="2">
        <is>
          <t xml:space="preserve">EXTRA E SUPPLEMENTI</t>
        </is>
      </c>
    </row>
    <row r="15" ht="22" customHeight="1">
      <c r="A15" t="inlineStr" s="3">
        <is>
          <t xml:space="preserve">Nome</t>
        </is>
      </c>
      <c r="B15" t="inlineStr" s="3">
        <is>
          <t xml:space="preserve">Tipo</t>
        </is>
      </c>
      <c r="C15" t="inlineStr" s="3">
        <is>
          <t xml:space="preserve">Prezzo</t>
        </is>
      </c>
      <c r="D15" t="inlineStr" s="3">
        <is>
          <t xml:space="preserve">Obbligatorio</t>
        </is>
      </c>
    </row>
    <row r="16">
      <c r="A16" t="inlineStr" s="15">
        <is>
          <t xml:space="preserve">Check-in serale</t>
        </is>
      </c>
      <c r="B16" t="inlineStr">
        <is>
          <t xml:space="preserve">fixed</t>
        </is>
      </c>
      <c r="C16" s="4">
        <v>15</v>
      </c>
      <c r="D16" t="inlineStr" s="11">
        <is>
          <t xml:space="preserve">No</t>
        </is>
      </c>
    </row>
    <row r="17">
      <c r="A17" t="inlineStr" s="15">
        <is>
          <t xml:space="preserve">Animale</t>
        </is>
      </c>
      <c r="B17" t="inlineStr">
        <is>
          <t xml:space="preserve">fixed</t>
        </is>
      </c>
      <c r="C17" s="4">
        <v>8</v>
      </c>
      <c r="D17" t="inlineStr" s="11">
        <is>
          <t xml:space="preserve">No</t>
        </is>
      </c>
    </row>
  </sheetData>
  <autoFilter ref="A8:E12"/>
  <mergeCells count="4">
    <mergeCell ref="A1:H2"/>
    <mergeCell ref="A4:H4"/>
    <mergeCell ref="A7:H7"/>
    <mergeCell ref="A14:H14"/>
  </mergeCells>
  <pageMargins left="0.3" right="0.3" top="0.5" bottom="0.5" header="0.2" footer="0.2"/>
</worksheet>
</file>

<file path=xl/worksheets/sheet5.xml><?xml version="1.0" encoding="utf-8"?>
<worksheet xmlns="http://schemas.openxmlformats.org/spreadsheetml/2006/main">
  <dimension ref="A1:E1000"/>
  <sheetViews>
    <sheetView showGridLines="1" workbookViewId="0">
      <pane ySplit="3" topLeftCell="A4" activePane="bottomLeft" state="frozen"/>
    </sheetView>
  </sheetViews>
  <sheetFormatPr defaultRowHeight="18"/>
  <cols>
    <col min="1" max="1" width="24" customWidth="1"/>
    <col min="2" max="2" width="25" customWidth="1"/>
    <col min="3" max="3" width="18" customWidth="1"/>
    <col min="4" max="4" width="18" customWidth="1"/>
    <col min="5" max="5" width="36" customWidth="1"/>
  </cols>
  <sheetData>
    <row r="1" ht="28" customHeight="1">
      <c r="A1" t="inlineStr" s="1">
        <is>
          <t xml:space="preserve">Borgo Marina · Clienti</t>
        </is>
      </c>
    </row>
    <row r="2" ht="22" customHeight="1">
      <c r="A2" t="inlineStr" s="8">
        <is>
          <t xml:space="preserve">Foglio operativo · Cliente · mantieni le intestazioni della riga 3</t>
        </is>
      </c>
    </row>
    <row r="3" ht="24" customHeight="1">
      <c r="A3" t="inlineStr" s="3">
        <is>
          <t xml:space="preserve">Nome / Ragione sociale *</t>
        </is>
      </c>
      <c r="B3" t="inlineStr" s="3">
        <is>
          <t xml:space="preserve">Email</t>
        </is>
      </c>
      <c r="C3" t="inlineStr" s="3">
        <is>
          <t xml:space="preserve">Telefono</t>
        </is>
      </c>
      <c r="D3" t="inlineStr" s="3">
        <is>
          <t xml:space="preserve">Codice fiscale / P. IVA</t>
        </is>
      </c>
      <c r="E3" t="inlineStr" s="3">
        <is>
          <t xml:space="preserve">Note</t>
        </is>
      </c>
    </row>
    <row r="4" ht="22" customHeight="1">
      <c r="A4" t="inlineStr">
        <is>
          <t xml:space="preserve">Giulia Romano</t>
        </is>
      </c>
      <c r="B4" t="inlineStr">
        <is>
          <t xml:space="preserve">cliente1@esempio.it</t>
        </is>
      </c>
      <c r="C4" t="inlineStr">
        <is>
          <t xml:space="preserve">+39 333 1234501</t>
        </is>
      </c>
      <c r="D4" t="inlineStr">
        <is>
          <t xml:space="preserve">Giulia Romano</t>
        </is>
      </c>
      <c r="E4" t="inlineStr">
        <is>
          <t xml:space="preserve">Giulia Romano</t>
        </is>
      </c>
    </row>
    <row r="5" ht="22" customHeight="1">
      <c r="A5" t="inlineStr">
        <is>
          <t xml:space="preserve">Marco De Luca</t>
        </is>
      </c>
      <c r="B5" t="inlineStr">
        <is>
          <t xml:space="preserve">cliente2@esempio.it</t>
        </is>
      </c>
      <c r="C5" t="inlineStr">
        <is>
          <t xml:space="preserve">+39 333 1234502</t>
        </is>
      </c>
      <c r="D5" t="inlineStr">
        <is>
          <t xml:space="preserve">Marco De Luca</t>
        </is>
      </c>
      <c r="E5" t="inlineStr">
        <is>
          <t xml:space="preserve">Marco De Luca</t>
        </is>
      </c>
    </row>
    <row r="6" ht="22" customHeight="1">
      <c r="A6" t="inlineStr">
        <is>
          <t xml:space="preserve">Studio Aurora</t>
        </is>
      </c>
      <c r="B6" t="inlineStr">
        <is>
          <t xml:space="preserve">cliente3@esempio.it</t>
        </is>
      </c>
      <c r="C6" t="inlineStr">
        <is>
          <t xml:space="preserve">+39 333 1234503</t>
        </is>
      </c>
      <c r="D6" t="inlineStr">
        <is>
          <t xml:space="preserve">Studio Aurora</t>
        </is>
      </c>
      <c r="E6" t="inlineStr">
        <is>
          <t xml:space="preserve">Studio Aurora</t>
        </is>
      </c>
    </row>
    <row r="7" ht="22" customHeight="1">
      <c r="A7" t="inlineStr">
        <is>
          <t xml:space="preserve">Sofia Conti</t>
        </is>
      </c>
      <c r="B7" t="inlineStr">
        <is>
          <t xml:space="preserve">cliente4@esempio.it</t>
        </is>
      </c>
      <c r="C7" t="inlineStr">
        <is>
          <t xml:space="preserve">+39 333 1234504</t>
        </is>
      </c>
      <c r="D7" t="inlineStr">
        <is>
          <t xml:space="preserve">Sofia Conti</t>
        </is>
      </c>
      <c r="E7" t="inlineStr">
        <is>
          <t xml:space="preserve">Sofia Conti</t>
        </is>
      </c>
    </row>
    <row r="8" ht="22" customHeight="1">
      <c r="A8" t="inlineStr">
        <is>
          <t xml:space="preserve">Alba Srl</t>
        </is>
      </c>
      <c r="B8" t="inlineStr">
        <is>
          <t xml:space="preserve">cliente5@esempio.it</t>
        </is>
      </c>
      <c r="C8" t="inlineStr">
        <is>
          <t xml:space="preserve">+39 333 1234505</t>
        </is>
      </c>
      <c r="D8" t="inlineStr">
        <is>
          <t xml:space="preserve">Alba Srl</t>
        </is>
      </c>
      <c r="E8" t="inlineStr">
        <is>
          <t xml:space="preserve">Alba Srl</t>
        </is>
      </c>
    </row>
  </sheetData>
  <autoFilter ref="A3:E1000"/>
  <mergeCells count="2">
    <mergeCell ref="A1:E1"/>
    <mergeCell ref="A2:E2"/>
  </mergeCells>
  <pageMargins left="0.3" right="0.3" top="0.5" bottom="0.5" header="0.2" footer="0.2"/>
</worksheet>
</file>

<file path=xl/worksheets/sheet6.xml><?xml version="1.0" encoding="utf-8"?>
<worksheet xmlns="http://schemas.openxmlformats.org/spreadsheetml/2006/main">
  <dimension ref="A1:F1000"/>
  <sheetViews>
    <sheetView showGridLines="1" workbookViewId="0">
      <pane ySplit="3" topLeftCell="A4" activePane="bottomLeft" state="frozen"/>
    </sheetView>
  </sheetViews>
  <sheetFormatPr defaultRowHeight="18"/>
  <cols>
    <col min="1" max="1" width="24" customWidth="1"/>
    <col min="2" max="2" width="18" customWidth="1"/>
    <col min="3" max="3" width="18" customWidth="1"/>
    <col min="4" max="4" width="18" customWidth="1"/>
    <col min="5" max="5" width="18" customWidth="1"/>
    <col min="6" max="6" width="36" customWidth="1"/>
  </cols>
  <sheetData>
    <row r="1" ht="28" customHeight="1">
      <c r="A1" t="inlineStr" s="1">
        <is>
          <t xml:space="preserve">Borgo Marina · Attività</t>
        </is>
      </c>
    </row>
    <row r="2" ht="22" customHeight="1">
      <c r="A2" t="inlineStr" s="8">
        <is>
          <t xml:space="preserve">Foglio operativo · Attività · mantieni le intestazioni della riga 3</t>
        </is>
      </c>
    </row>
    <row r="3" ht="24" customHeight="1">
      <c r="A3" t="inlineStr" s="3">
        <is>
          <t xml:space="preserve">Titolo *</t>
        </is>
      </c>
      <c r="B3" t="inlineStr" s="3">
        <is>
          <t xml:space="preserve">Stato</t>
        </is>
      </c>
      <c r="C3" t="inlineStr" s="3">
        <is>
          <t xml:space="preserve">Priorità</t>
        </is>
      </c>
      <c r="D3" t="inlineStr" s="3">
        <is>
          <t xml:space="preserve">Scadenza</t>
        </is>
      </c>
      <c r="E3" t="inlineStr" s="3">
        <is>
          <t xml:space="preserve">Responsabile</t>
        </is>
      </c>
      <c r="F3" t="inlineStr" s="3">
        <is>
          <t xml:space="preserve">Note</t>
        </is>
      </c>
    </row>
    <row r="4" ht="22" customHeight="1">
      <c r="A4" t="inlineStr">
        <is>
          <t xml:space="preserve">Esempio operativo</t>
        </is>
      </c>
      <c r="B4" t="inlineStr">
        <is>
          <t xml:space="preserve">Da fare</t>
        </is>
      </c>
      <c r="C4" t="inlineStr">
        <is>
          <t xml:space="preserve">Bassa</t>
        </is>
      </c>
      <c r="D4" s="5">
        <v>46237</v>
      </c>
      <c r="E4" t="inlineStr">
        <is>
          <t xml:space="preserve">Chiara</t>
        </is>
      </c>
      <c r="F4" t="inlineStr">
        <is>
          <t xml:space="preserve">Riga dimostrativa: sostituisci o elimina prima dell’importazione.</t>
        </is>
      </c>
    </row>
    <row r="5" ht="22" customHeight="1">
      <c r="A5" t="inlineStr">
        <is>
          <t xml:space="preserve"/>
        </is>
      </c>
      <c r="B5" t="inlineStr">
        <is>
          <t xml:space="preserve">In corso</t>
        </is>
      </c>
      <c r="C5" t="inlineStr">
        <is>
          <t xml:space="preserve">Media</t>
        </is>
      </c>
      <c r="D5" s="5">
        <v>46238</v>
      </c>
      <c r="E5" t="inlineStr">
        <is>
          <t xml:space="preserve">Matteo</t>
        </is>
      </c>
      <c r="F5" t="inlineStr">
        <is>
          <t xml:space="preserve"/>
        </is>
      </c>
    </row>
    <row r="6" ht="22" customHeight="1">
      <c r="A6" t="inlineStr">
        <is>
          <t xml:space="preserve"/>
        </is>
      </c>
      <c r="B6" t="inlineStr">
        <is>
          <t xml:space="preserve">Completata</t>
        </is>
      </c>
      <c r="C6" t="inlineStr">
        <is>
          <t xml:space="preserve">Alta</t>
        </is>
      </c>
      <c r="D6" s="5">
        <v>46239</v>
      </c>
      <c r="E6" t="inlineStr">
        <is>
          <t xml:space="preserve">Francesca</t>
        </is>
      </c>
      <c r="F6" t="inlineStr">
        <is>
          <t xml:space="preserve"/>
        </is>
      </c>
    </row>
    <row r="7" ht="22" customHeight="1">
      <c r="A7" t="inlineStr">
        <is>
          <t xml:space="preserve"/>
        </is>
      </c>
      <c r="B7" t="inlineStr">
        <is>
          <t xml:space="preserve">Da fare</t>
        </is>
      </c>
      <c r="C7" t="inlineStr">
        <is>
          <t xml:space="preserve">Urgente</t>
        </is>
      </c>
      <c r="D7" s="5">
        <v>46240</v>
      </c>
      <c r="E7" t="inlineStr">
        <is>
          <t xml:space="preserve">Paolo</t>
        </is>
      </c>
      <c r="F7" t="inlineStr">
        <is>
          <t xml:space="preserve"/>
        </is>
      </c>
    </row>
    <row r="8" ht="22" customHeight="1">
      <c r="A8" t="inlineStr">
        <is>
          <t xml:space="preserve"/>
        </is>
      </c>
      <c r="B8" t="inlineStr">
        <is>
          <t xml:space="preserve">In corso</t>
        </is>
      </c>
      <c r="C8" t="inlineStr">
        <is>
          <t xml:space="preserve">Bassa</t>
        </is>
      </c>
      <c r="D8" s="5">
        <v>46241</v>
      </c>
      <c r="E8" t="inlineStr">
        <is>
          <t xml:space="preserve">Elena</t>
        </is>
      </c>
      <c r="F8" t="inlineStr">
        <is>
          <t xml:space="preserve"/>
        </is>
      </c>
    </row>
  </sheetData>
  <autoFilter ref="A3:F1000"/>
  <mergeCells count="2">
    <mergeCell ref="A1:F1"/>
    <mergeCell ref="A2:F2"/>
  </mergeCells>
  <conditionalFormatting sqref="B4:B1000">
    <cfRule type="cellIs" dxfId="0" priority="1" operator="equal">
      <formula>"Completata"</formula>
    </cfRule>
    <cfRule type="cellIs" dxfId="2" priority="3" operator="equal">
      <formula>"In corso"</formula>
    </cfRule>
  </conditionalFormatting>
  <conditionalFormatting sqref="C4:C1000">
    <cfRule type="cellIs" dxfId="1" priority="2" operator="equal">
      <formula>"Urgente"</formula>
    </cfRule>
  </conditionalFormatting>
  <dataValidations count="2">
    <dataValidation type="list" allowBlank="1" showErrorMessage="1" errorTitle="Valore non valido" error="Scegli una voce dal menu" sqref="B4:B1000">
      <formula1>"Da fare,In corso,Completata"</formula1>
    </dataValidation>
    <dataValidation type="list" allowBlank="1" showErrorMessage="1" errorTitle="Valore non valido" error="Scegli una voce dal menu" sqref="C4:C1000">
      <formula1>"Bassa,Media,Alta,Urgente"</formula1>
    </dataValidation>
  </dataValidations>
  <pageMargins left="0.3" right="0.3" top="0.5" bottom="0.5" header="0.2" footer="0.2"/>
</worksheet>
</file>

<file path=xl/worksheets/sheet7.xml><?xml version="1.0" encoding="utf-8"?>
<worksheet xmlns="http://schemas.openxmlformats.org/spreadsheetml/2006/main">
  <dimension ref="A1:H1000"/>
  <sheetViews>
    <sheetView showGridLines="1" workbookViewId="0">
      <pane ySplit="3" topLeftCell="A4" activePane="bottomLeft" state="frozen"/>
    </sheetView>
  </sheetViews>
  <sheetFormatPr defaultRowHeight="18"/>
  <cols>
    <col min="1" max="1" width="24" customWidth="1"/>
    <col min="2" max="2" width="21" customWidth="1"/>
    <col min="3" max="3" width="21" customWidth="1"/>
    <col min="4" max="4" width="18" customWidth="1"/>
    <col min="5" max="5" width="18" customWidth="1"/>
    <col min="6" max="6" width="18" customWidth="1"/>
    <col min="7" max="7" width="15" customWidth="1"/>
    <col min="8" max="8" width="36" customWidth="1"/>
  </cols>
  <sheetData>
    <row r="1" ht="28" customHeight="1">
      <c r="A1" t="inlineStr" s="1">
        <is>
          <t xml:space="preserve">Borgo Marina · Prenotazioni</t>
        </is>
      </c>
    </row>
    <row r="2" ht="22" customHeight="1">
      <c r="A2" t="inlineStr" s="8">
        <is>
          <t xml:space="preserve">Foglio operativo · Prenotazione · mantieni le intestazioni della riga 3</t>
        </is>
      </c>
    </row>
    <row r="3" ht="24" customHeight="1">
      <c r="A3" t="inlineStr" s="3">
        <is>
          <t xml:space="preserve">Cliente *</t>
        </is>
      </c>
      <c r="B3" t="inlineStr" s="3">
        <is>
          <t xml:space="preserve">Inizio *</t>
        </is>
      </c>
      <c r="C3" t="inlineStr" s="3">
        <is>
          <t xml:space="preserve">Fine *</t>
        </is>
      </c>
      <c r="D3" t="inlineStr" s="3">
        <is>
          <t xml:space="preserve">Risorsa</t>
        </is>
      </c>
      <c r="E3" t="inlineStr" s="3">
        <is>
          <t xml:space="preserve">Persone / quantità</t>
        </is>
      </c>
      <c r="F3" t="inlineStr" s="3">
        <is>
          <t xml:space="preserve">Stato</t>
        </is>
      </c>
      <c r="G3" t="inlineStr" s="3">
        <is>
          <t xml:space="preserve">Totale</t>
        </is>
      </c>
      <c r="H3" t="inlineStr" s="3">
        <is>
          <t xml:space="preserve">Note</t>
        </is>
      </c>
    </row>
    <row r="4" ht="22" customHeight="1">
      <c r="A4" t="inlineStr">
        <is>
          <t xml:space="preserve">Giulia Romano</t>
        </is>
      </c>
      <c r="B4" s="6">
        <v>46237.375</v>
      </c>
      <c r="C4" s="6">
        <v>46237.375</v>
      </c>
      <c r="D4" t="inlineStr">
        <is>
          <t xml:space="preserve">Risorsa 01</t>
        </is>
      </c>
      <c r="E4" s="16">
        <v>1</v>
      </c>
      <c r="F4" t="inlineStr">
        <is>
          <t xml:space="preserve">Richiesta</t>
        </is>
      </c>
      <c r="G4" s="4">
        <v>99</v>
      </c>
      <c r="H4" t="inlineStr">
        <is>
          <t xml:space="preserve">Riga dimostrativa: sostituisci o elimina prima dell’importazione.</t>
        </is>
      </c>
    </row>
    <row r="5" ht="22" customHeight="1">
      <c r="A5" t="inlineStr">
        <is>
          <t xml:space="preserve">Marco De Luca</t>
        </is>
      </c>
      <c r="B5" s="6">
        <v>46238.416666666664</v>
      </c>
      <c r="C5" s="6">
        <v>46238.416666666664</v>
      </c>
      <c r="D5" t="inlineStr">
        <is>
          <t xml:space="preserve">Risorsa 02</t>
        </is>
      </c>
      <c r="E5" s="16">
        <v>2</v>
      </c>
      <c r="F5" t="inlineStr">
        <is>
          <t xml:space="preserve">Confermata</t>
        </is>
      </c>
      <c r="G5" s="4">
        <v>150</v>
      </c>
      <c r="H5" t="inlineStr">
        <is>
          <t xml:space="preserve"/>
        </is>
      </c>
    </row>
    <row r="6" ht="22" customHeight="1">
      <c r="A6" t="inlineStr">
        <is>
          <t xml:space="preserve">Studio Aurora</t>
        </is>
      </c>
      <c r="B6" s="6">
        <v>46239.458333333336</v>
      </c>
      <c r="C6" s="6">
        <v>46239.458333333336</v>
      </c>
      <c r="D6" t="inlineStr">
        <is>
          <t xml:space="preserve">Risorsa 03</t>
        </is>
      </c>
      <c r="E6" s="16">
        <v>4</v>
      </c>
      <c r="F6" t="inlineStr">
        <is>
          <t xml:space="preserve">Completata</t>
        </is>
      </c>
      <c r="G6" s="4">
        <v>245</v>
      </c>
      <c r="H6" t="inlineStr">
        <is>
          <t xml:space="preserve"/>
        </is>
      </c>
    </row>
    <row r="7" ht="22" customHeight="1">
      <c r="A7" t="inlineStr">
        <is>
          <t xml:space="preserve">Sofia Conti</t>
        </is>
      </c>
      <c r="B7" s="6">
        <v>46240.5</v>
      </c>
      <c r="C7" s="6">
        <v>46240.5</v>
      </c>
      <c r="D7" t="inlineStr">
        <is>
          <t xml:space="preserve">Risorsa 04</t>
        </is>
      </c>
      <c r="E7" s="16">
        <v>8</v>
      </c>
      <c r="F7" t="inlineStr">
        <is>
          <t xml:space="preserve">Annullata</t>
        </is>
      </c>
      <c r="G7" s="4">
        <v>480</v>
      </c>
      <c r="H7" t="inlineStr">
        <is>
          <t xml:space="preserve"/>
        </is>
      </c>
    </row>
    <row r="8" ht="22" customHeight="1">
      <c r="A8" t="inlineStr">
        <is>
          <t xml:space="preserve">Alba Srl</t>
        </is>
      </c>
      <c r="B8" s="6">
        <v>46241.541666666664</v>
      </c>
      <c r="C8" s="6">
        <v>46241.541666666664</v>
      </c>
      <c r="D8" t="inlineStr">
        <is>
          <t xml:space="preserve">Risorsa 05</t>
        </is>
      </c>
      <c r="E8" s="16">
        <v>12</v>
      </c>
      <c r="F8" t="inlineStr">
        <is>
          <t xml:space="preserve">Richiesta</t>
        </is>
      </c>
      <c r="G8" s="4">
        <v>720</v>
      </c>
      <c r="H8" t="inlineStr">
        <is>
          <t xml:space="preserve"/>
        </is>
      </c>
    </row>
  </sheetData>
  <autoFilter ref="A3:H1000"/>
  <mergeCells count="2">
    <mergeCell ref="A1:H1"/>
    <mergeCell ref="A2:H2"/>
  </mergeCells>
  <conditionalFormatting sqref="F4:F1000">
    <cfRule type="cellIs" dxfId="0" priority="1" operator="equal">
      <formula>"Confermata"</formula>
    </cfRule>
    <cfRule type="cellIs" dxfId="1" priority="2" operator="equal">
      <formula>"Annullata"</formula>
    </cfRule>
    <cfRule type="cellIs" dxfId="2" priority="3" operator="equal">
      <formula>"Richiesta"</formula>
    </cfRule>
  </conditionalFormatting>
  <dataValidations count="1">
    <dataValidation type="list" allowBlank="1" showErrorMessage="1" errorTitle="Valore non valido" error="Scegli una voce dal menu" sqref="F4:F1000">
      <formula1>"Richiesta,Confermata,Completata,Annullata"</formula1>
    </dataValidation>
  </dataValidations>
  <pageMargins left="0.3" right="0.3" top="0.5" bottom="0.5" header="0.2" footer="0.2"/>
</worksheet>
</file>

<file path=xl/worksheets/sheet8.xml><?xml version="1.0" encoding="utf-8"?>
<worksheet xmlns="http://schemas.openxmlformats.org/spreadsheetml/2006/main">
  <dimension ref="A1:E1000"/>
  <sheetViews>
    <sheetView showGridLines="1" workbookViewId="0">
      <pane ySplit="3" topLeftCell="A4" activePane="bottomLeft" state="frozen"/>
    </sheetView>
  </sheetViews>
  <sheetFormatPr defaultRowHeight="18"/>
  <cols>
    <col min="1" max="1" width="24" customWidth="1"/>
    <col min="2" max="2" width="18" customWidth="1"/>
    <col min="3" max="3" width="18" customWidth="1"/>
    <col min="4" max="4" width="18" customWidth="1"/>
    <col min="5" max="5" width="36" customWidth="1"/>
  </cols>
  <sheetData>
    <row r="1" ht="28" customHeight="1">
      <c r="A1" t="inlineStr" s="1">
        <is>
          <t xml:space="preserve">Borgo Marina · Risorse</t>
        </is>
      </c>
    </row>
    <row r="2" ht="22" customHeight="1">
      <c r="A2" t="inlineStr" s="8">
        <is>
          <t xml:space="preserve">Foglio operativo · Risorsa · mantieni le intestazioni della riga 3</t>
        </is>
      </c>
    </row>
    <row r="3" ht="24" customHeight="1">
      <c r="A3" t="inlineStr" s="3">
        <is>
          <t xml:space="preserve">Nome *</t>
        </is>
      </c>
      <c r="B3" t="inlineStr" s="3">
        <is>
          <t xml:space="preserve">Categoria</t>
        </is>
      </c>
      <c r="C3" t="inlineStr" s="3">
        <is>
          <t xml:space="preserve">Capacità</t>
        </is>
      </c>
      <c r="D3" t="inlineStr" s="3">
        <is>
          <t xml:space="preserve">Attiva</t>
        </is>
      </c>
      <c r="E3" t="inlineStr" s="3">
        <is>
          <t xml:space="preserve">Note</t>
        </is>
      </c>
    </row>
    <row r="4" ht="22" customHeight="1">
      <c r="A4" t="inlineStr">
        <is>
          <t xml:space="preserve">Risorsa 01</t>
        </is>
      </c>
      <c r="B4" t="inlineStr">
        <is>
          <t xml:space="preserve">Risorsa 01</t>
        </is>
      </c>
      <c r="C4" s="16">
        <v>1</v>
      </c>
      <c r="D4" t="inlineStr" s="11">
        <is>
          <t xml:space="preserve">Sì</t>
        </is>
      </c>
      <c r="E4" t="inlineStr">
        <is>
          <t xml:space="preserve">Risorsa 01</t>
        </is>
      </c>
    </row>
    <row r="5" ht="22" customHeight="1">
      <c r="A5" t="inlineStr">
        <is>
          <t xml:space="preserve">Risorsa 02</t>
        </is>
      </c>
      <c r="B5" t="inlineStr">
        <is>
          <t xml:space="preserve">Risorsa 02</t>
        </is>
      </c>
      <c r="C5" s="16">
        <v>2</v>
      </c>
      <c r="D5" t="inlineStr" s="11">
        <is>
          <t xml:space="preserve">Sì</t>
        </is>
      </c>
      <c r="E5" t="inlineStr">
        <is>
          <t xml:space="preserve">Risorsa 02</t>
        </is>
      </c>
    </row>
    <row r="6" ht="22" customHeight="1">
      <c r="A6" t="inlineStr">
        <is>
          <t xml:space="preserve">Risorsa 03</t>
        </is>
      </c>
      <c r="B6" t="inlineStr">
        <is>
          <t xml:space="preserve">Risorsa 03</t>
        </is>
      </c>
      <c r="C6" s="16">
        <v>4</v>
      </c>
      <c r="D6" t="inlineStr" s="11">
        <is>
          <t xml:space="preserve">Sì</t>
        </is>
      </c>
      <c r="E6" t="inlineStr">
        <is>
          <t xml:space="preserve">Risorsa 03</t>
        </is>
      </c>
    </row>
    <row r="7" ht="22" customHeight="1">
      <c r="A7" t="inlineStr">
        <is>
          <t xml:space="preserve">Risorsa 04</t>
        </is>
      </c>
      <c r="B7" t="inlineStr">
        <is>
          <t xml:space="preserve">Risorsa 04</t>
        </is>
      </c>
      <c r="C7" s="16">
        <v>8</v>
      </c>
      <c r="D7" t="inlineStr" s="11">
        <is>
          <t xml:space="preserve">No</t>
        </is>
      </c>
      <c r="E7" t="inlineStr">
        <is>
          <t xml:space="preserve">Risorsa 04</t>
        </is>
      </c>
    </row>
    <row r="8" ht="22" customHeight="1">
      <c r="A8" t="inlineStr">
        <is>
          <t xml:space="preserve">Risorsa 05</t>
        </is>
      </c>
      <c r="B8" t="inlineStr">
        <is>
          <t xml:space="preserve">Risorsa 05</t>
        </is>
      </c>
      <c r="C8" s="16">
        <v>12</v>
      </c>
      <c r="D8" t="inlineStr" s="11">
        <is>
          <t xml:space="preserve">Sì</t>
        </is>
      </c>
      <c r="E8" t="inlineStr">
        <is>
          <t xml:space="preserve">Risorsa 05</t>
        </is>
      </c>
    </row>
  </sheetData>
  <autoFilter ref="A3:E1000"/>
  <mergeCells count="2">
    <mergeCell ref="A1:E1"/>
    <mergeCell ref="A2:E2"/>
  </mergeCells>
  <dataValidations count="1">
    <dataValidation type="list" allowBlank="1" sqref="D4:D1000">
      <formula1>"Sì,No"</formula1>
    </dataValidation>
  </dataValidations>
  <pageMargins left="0.3" right="0.3" top="0.5" bottom="0.5" header="0.2" footer="0.2"/>
</worksheet>
</file>

<file path=xl/worksheets/sheet9.xml><?xml version="1.0" encoding="utf-8"?>
<worksheet xmlns="http://schemas.openxmlformats.org/spreadsheetml/2006/main">
  <dimension ref="A1:G1000"/>
  <sheetViews>
    <sheetView showGridLines="1" workbookViewId="0">
      <pane ySplit="3" topLeftCell="A4" activePane="bottomLeft" state="frozen"/>
    </sheetView>
  </sheetViews>
  <sheetFormatPr defaultRowHeight="18"/>
  <cols>
    <col min="1" max="1" width="24" customWidth="1"/>
    <col min="2" max="2" width="18" customWidth="1"/>
    <col min="3" max="3" width="18" customWidth="1"/>
    <col min="4" max="4" width="18" customWidth="1"/>
    <col min="5" max="5" width="18" customWidth="1"/>
    <col min="6" max="6" width="15" customWidth="1"/>
    <col min="7" max="7" width="36" customWidth="1"/>
  </cols>
  <sheetData>
    <row r="1" ht="28" customHeight="1">
      <c r="A1" t="inlineStr" s="1">
        <is>
          <t xml:space="preserve">Borgo Marina · Preventivi</t>
        </is>
      </c>
    </row>
    <row r="2" ht="22" customHeight="1">
      <c r="A2" t="inlineStr" s="8">
        <is>
          <t xml:space="preserve">Foglio operativo · Preventivo · mantieni le intestazioni della riga 3</t>
        </is>
      </c>
    </row>
    <row r="3" ht="24" customHeight="1">
      <c r="A3" t="inlineStr" s="3">
        <is>
          <t xml:space="preserve">Numero *</t>
        </is>
      </c>
      <c r="B3" t="inlineStr" s="3">
        <is>
          <t xml:space="preserve">Cliente *</t>
        </is>
      </c>
      <c r="C3" t="inlineStr" s="3">
        <is>
          <t xml:space="preserve">Data</t>
        </is>
      </c>
      <c r="D3" t="inlineStr" s="3">
        <is>
          <t xml:space="preserve">Valido fino al</t>
        </is>
      </c>
      <c r="E3" t="inlineStr" s="3">
        <is>
          <t xml:space="preserve">Stato</t>
        </is>
      </c>
      <c r="F3" t="inlineStr" s="3">
        <is>
          <t xml:space="preserve">Totale</t>
        </is>
      </c>
      <c r="G3" t="inlineStr" s="3">
        <is>
          <t xml:space="preserve">Note</t>
        </is>
      </c>
    </row>
    <row r="4" ht="22" customHeight="1">
      <c r="A4" t="inlineStr">
        <is>
          <t xml:space="preserve">2026-001</t>
        </is>
      </c>
      <c r="B4" t="inlineStr">
        <is>
          <t xml:space="preserve">Giulia Romano</t>
        </is>
      </c>
      <c r="C4" s="5">
        <v>46237</v>
      </c>
      <c r="D4" s="5">
        <v>46237</v>
      </c>
      <c r="E4" t="inlineStr">
        <is>
          <t xml:space="preserve">Bozza</t>
        </is>
      </c>
      <c r="F4" s="4">
        <v>99</v>
      </c>
      <c r="G4" t="inlineStr">
        <is>
          <t xml:space="preserve">Riga dimostrativa: sostituisci o elimina prima dell’importazione.</t>
        </is>
      </c>
    </row>
    <row r="5" ht="22" customHeight="1">
      <c r="A5" t="inlineStr">
        <is>
          <t xml:space="preserve">2026-002</t>
        </is>
      </c>
      <c r="B5" t="inlineStr">
        <is>
          <t xml:space="preserve">Marco De Luca</t>
        </is>
      </c>
      <c r="C5" s="5">
        <v>46238</v>
      </c>
      <c r="D5" s="5">
        <v>46238</v>
      </c>
      <c r="E5" t="inlineStr">
        <is>
          <t xml:space="preserve">Inviato</t>
        </is>
      </c>
      <c r="F5" s="4">
        <v>150</v>
      </c>
      <c r="G5" t="inlineStr">
        <is>
          <t xml:space="preserve"/>
        </is>
      </c>
    </row>
    <row r="6" ht="22" customHeight="1">
      <c r="A6" t="inlineStr">
        <is>
          <t xml:space="preserve">2026-003</t>
        </is>
      </c>
      <c r="B6" t="inlineStr">
        <is>
          <t xml:space="preserve">Studio Aurora</t>
        </is>
      </c>
      <c r="C6" s="5">
        <v>46239</v>
      </c>
      <c r="D6" s="5">
        <v>46239</v>
      </c>
      <c r="E6" t="inlineStr">
        <is>
          <t xml:space="preserve">Accettato</t>
        </is>
      </c>
      <c r="F6" s="4">
        <v>245</v>
      </c>
      <c r="G6" t="inlineStr">
        <is>
          <t xml:space="preserve"/>
        </is>
      </c>
    </row>
    <row r="7" ht="22" customHeight="1">
      <c r="A7" t="inlineStr">
        <is>
          <t xml:space="preserve">2026-004</t>
        </is>
      </c>
      <c r="B7" t="inlineStr">
        <is>
          <t xml:space="preserve">Sofia Conti</t>
        </is>
      </c>
      <c r="C7" s="5">
        <v>46240</v>
      </c>
      <c r="D7" s="5">
        <v>46240</v>
      </c>
      <c r="E7" t="inlineStr">
        <is>
          <t xml:space="preserve">Rifiutato</t>
        </is>
      </c>
      <c r="F7" s="4">
        <v>480</v>
      </c>
      <c r="G7" t="inlineStr">
        <is>
          <t xml:space="preserve"/>
        </is>
      </c>
    </row>
    <row r="8" ht="22" customHeight="1">
      <c r="A8" t="inlineStr">
        <is>
          <t xml:space="preserve">2026-005</t>
        </is>
      </c>
      <c r="B8" t="inlineStr">
        <is>
          <t xml:space="preserve">Alba Srl</t>
        </is>
      </c>
      <c r="C8" s="5">
        <v>46241</v>
      </c>
      <c r="D8" s="5">
        <v>46241</v>
      </c>
      <c r="E8" t="inlineStr">
        <is>
          <t xml:space="preserve">Bozza</t>
        </is>
      </c>
      <c r="F8" s="4">
        <v>720</v>
      </c>
      <c r="G8" t="inlineStr">
        <is>
          <t xml:space="preserve"/>
        </is>
      </c>
    </row>
  </sheetData>
  <autoFilter ref="A3:G1000"/>
  <mergeCells count="2">
    <mergeCell ref="A1:G1"/>
    <mergeCell ref="A2:G2"/>
  </mergeCells>
  <conditionalFormatting sqref="E4:E1000">
    <cfRule type="cellIs" dxfId="1" priority="2" operator="equal">
      <formula>"Rifiutato"</formula>
    </cfRule>
    <cfRule type="cellIs" dxfId="2" priority="3" operator="equal">
      <formula>"Bozza"</formula>
    </cfRule>
  </conditionalFormatting>
  <dataValidations count="1">
    <dataValidation type="list" allowBlank="1" showErrorMessage="1" errorTitle="Valore non valido" error="Scegli una voce dal menu" sqref="E4:E1000">
      <formula1>"Bozza,Inviato,Accettato,Rifiutato"</formula1>
    </dataValidation>
  </dataValidations>
  <pageMargins left="0.3" right="0.3" top="0.5" bottom="0.5" header="0.2" footer="0.2"/>
</worksheet>
</file>

<file path=xl/worksheets/sheet10.xml><?xml version="1.0" encoding="utf-8"?>
<worksheet xmlns="http://schemas.openxmlformats.org/spreadsheetml/2006/main">
  <dimension ref="A1:F1000"/>
  <sheetViews>
    <sheetView showGridLines="1" workbookViewId="0">
      <pane ySplit="3" topLeftCell="A4" activePane="bottomLeft" state="frozen"/>
    </sheetView>
  </sheetViews>
  <sheetFormatPr defaultRowHeight="18"/>
  <cols>
    <col min="1" max="1" width="24" customWidth="1"/>
    <col min="2" max="2" width="18" customWidth="1"/>
    <col min="3" max="3" width="15" customWidth="1"/>
    <col min="4" max="4" width="18" customWidth="1"/>
    <col min="5" max="5" width="18" customWidth="1"/>
    <col min="6" max="6" width="18" customWidth="1"/>
  </cols>
  <sheetData>
    <row r="1" ht="28" customHeight="1">
      <c r="A1" t="inlineStr" s="1">
        <is>
          <t xml:space="preserve">Borgo Marina · Pagamenti</t>
        </is>
      </c>
    </row>
    <row r="2" ht="22" customHeight="1">
      <c r="A2" t="inlineStr" s="8">
        <is>
          <t xml:space="preserve">Foglio operativo · Pagamento · mantieni le intestazioni della riga 3</t>
        </is>
      </c>
    </row>
    <row r="3" ht="24" customHeight="1">
      <c r="A3" t="inlineStr" s="3">
        <is>
          <t xml:space="preserve">Cliente</t>
        </is>
      </c>
      <c r="B3" t="inlineStr" s="3">
        <is>
          <t xml:space="preserve">Data</t>
        </is>
      </c>
      <c r="C3" t="inlineStr" s="3">
        <is>
          <t xml:space="preserve">Importo *</t>
        </is>
      </c>
      <c r="D3" t="inlineStr" s="3">
        <is>
          <t xml:space="preserve">Metodo</t>
        </is>
      </c>
      <c r="E3" t="inlineStr" s="3">
        <is>
          <t xml:space="preserve">Stato</t>
        </is>
      </c>
      <c r="F3" t="inlineStr" s="3">
        <is>
          <t xml:space="preserve">Riferimento</t>
        </is>
      </c>
    </row>
    <row r="4" ht="22" customHeight="1">
      <c r="A4" t="inlineStr">
        <is>
          <t xml:space="preserve">Giulia Romano</t>
        </is>
      </c>
      <c r="B4" s="5">
        <v>46237</v>
      </c>
      <c r="C4" s="4">
        <v>99</v>
      </c>
      <c r="D4" t="inlineStr">
        <is>
          <t xml:space="preserve">Contanti</t>
        </is>
      </c>
      <c r="E4" t="inlineStr">
        <is>
          <t xml:space="preserve">Previsto</t>
        </is>
      </c>
      <c r="F4" t="inlineStr">
        <is>
          <t xml:space="preserve">Esempio operativo</t>
        </is>
      </c>
    </row>
    <row r="5" ht="22" customHeight="1">
      <c r="A5" t="inlineStr">
        <is>
          <t xml:space="preserve">Marco De Luca</t>
        </is>
      </c>
      <c r="B5" s="5">
        <v>46238</v>
      </c>
      <c r="C5" s="4">
        <v>150</v>
      </c>
      <c r="D5" t="inlineStr">
        <is>
          <t xml:space="preserve">Carta</t>
        </is>
      </c>
      <c r="E5" t="inlineStr">
        <is>
          <t xml:space="preserve">Ricevuto</t>
        </is>
      </c>
      <c r="F5" t="inlineStr">
        <is>
          <t xml:space="preserve"/>
        </is>
      </c>
    </row>
    <row r="6" ht="22" customHeight="1">
      <c r="A6" t="inlineStr">
        <is>
          <t xml:space="preserve">Studio Aurora</t>
        </is>
      </c>
      <c r="B6" s="5">
        <v>46239</v>
      </c>
      <c r="C6" s="4">
        <v>245</v>
      </c>
      <c r="D6" t="inlineStr">
        <is>
          <t xml:space="preserve">Bonifico</t>
        </is>
      </c>
      <c r="E6" t="inlineStr">
        <is>
          <t xml:space="preserve">Rimborsato</t>
        </is>
      </c>
      <c r="F6" t="inlineStr">
        <is>
          <t xml:space="preserve"/>
        </is>
      </c>
    </row>
    <row r="7" ht="22" customHeight="1">
      <c r="A7" t="inlineStr">
        <is>
          <t xml:space="preserve">Sofia Conti</t>
        </is>
      </c>
      <c r="B7" s="5">
        <v>46240</v>
      </c>
      <c r="C7" s="4">
        <v>480</v>
      </c>
      <c r="D7" t="inlineStr">
        <is>
          <t xml:space="preserve">Online</t>
        </is>
      </c>
      <c r="E7" t="inlineStr">
        <is>
          <t xml:space="preserve">Previsto</t>
        </is>
      </c>
      <c r="F7" t="inlineStr">
        <is>
          <t xml:space="preserve"/>
        </is>
      </c>
    </row>
    <row r="8" ht="22" customHeight="1">
      <c r="A8" t="inlineStr">
        <is>
          <t xml:space="preserve">Alba Srl</t>
        </is>
      </c>
      <c r="B8" s="5">
        <v>46241</v>
      </c>
      <c r="C8" s="4">
        <v>720</v>
      </c>
      <c r="D8" t="inlineStr">
        <is>
          <t xml:space="preserve">Altro</t>
        </is>
      </c>
      <c r="E8" t="inlineStr">
        <is>
          <t xml:space="preserve">Ricevuto</t>
        </is>
      </c>
      <c r="F8" t="inlineStr">
        <is>
          <t xml:space="preserve"/>
        </is>
      </c>
    </row>
  </sheetData>
  <autoFilter ref="A3:F1000"/>
  <mergeCells count="2">
    <mergeCell ref="A1:F1"/>
    <mergeCell ref="A2:F2"/>
  </mergeCells>
  <dataValidations count="2">
    <dataValidation type="list" allowBlank="1" showErrorMessage="1" errorTitle="Valore non valido" error="Scegli una voce dal menu" sqref="D4:D1000">
      <formula1>"Contanti,Carta,Bonifico,Online,Altro"</formula1>
    </dataValidation>
    <dataValidation type="list" allowBlank="1" showErrorMessage="1" errorTitle="Valore non valido" error="Scegli una voce dal menu" sqref="E4:E1000">
      <formula1>"Previsto,Ricevuto,Rimborsato"</formula1>
    </dataValidation>
  </dataValidations>
  <pageMargins left="0.3" right="0.3" top="0.5" bottom="0.5" header="0.2" footer="0.2"/>
</worksheet>
</file>

<file path=xl/worksheets/sheet11.xml><?xml version="1.0" encoding="utf-8"?>
<worksheet xmlns="http://schemas.openxmlformats.org/spreadsheetml/2006/main">
  <dimension ref="A1:E1000"/>
  <sheetViews>
    <sheetView showGridLines="1" workbookViewId="0">
      <pane ySplit="3" topLeftCell="A4" activePane="bottomLeft" state="frozen"/>
    </sheetView>
  </sheetViews>
  <sheetFormatPr defaultRowHeight="18"/>
  <cols>
    <col min="1" max="1" width="24" customWidth="1"/>
    <col min="2" max="2" width="18" customWidth="1"/>
    <col min="3" max="3" width="25" customWidth="1"/>
    <col min="4" max="4" width="18" customWidth="1"/>
    <col min="5" max="5" width="36" customWidth="1"/>
  </cols>
  <sheetData>
    <row r="1" ht="28" customHeight="1">
      <c r="A1" t="inlineStr" s="1">
        <is>
          <t xml:space="preserve">Borgo Marina · Fornitori</t>
        </is>
      </c>
    </row>
    <row r="2" ht="22" customHeight="1">
      <c r="A2" t="inlineStr" s="8">
        <is>
          <t xml:space="preserve">Foglio operativo · Fornitore · mantieni le intestazioni della riga 3</t>
        </is>
      </c>
    </row>
    <row r="3" ht="24" customHeight="1">
      <c r="A3" t="inlineStr" s="3">
        <is>
          <t xml:space="preserve">Ragione sociale *</t>
        </is>
      </c>
      <c r="B3" t="inlineStr" s="3">
        <is>
          <t xml:space="preserve">Referente</t>
        </is>
      </c>
      <c r="C3" t="inlineStr" s="3">
        <is>
          <t xml:space="preserve">Email</t>
        </is>
      </c>
      <c r="D3" t="inlineStr" s="3">
        <is>
          <t xml:space="preserve">Telefono</t>
        </is>
      </c>
      <c r="E3" t="inlineStr" s="3">
        <is>
          <t xml:space="preserve">Note</t>
        </is>
      </c>
    </row>
    <row r="4" ht="22" customHeight="1">
      <c r="A4" t="inlineStr">
        <is>
          <t xml:space="preserve">Fornitore 1</t>
        </is>
      </c>
      <c r="B4" t="inlineStr">
        <is>
          <t xml:space="preserve">Fornitore 1</t>
        </is>
      </c>
      <c r="C4" t="inlineStr">
        <is>
          <t xml:space="preserve">cliente1@esempio.it</t>
        </is>
      </c>
      <c r="D4" t="inlineStr">
        <is>
          <t xml:space="preserve">+39 333 1234501</t>
        </is>
      </c>
      <c r="E4" t="inlineStr">
        <is>
          <t xml:space="preserve">Riga dimostrativa: sostituisci o elimina prima dell’importazione.</t>
        </is>
      </c>
    </row>
    <row r="5" ht="22" customHeight="1">
      <c r="A5" t="inlineStr">
        <is>
          <t xml:space="preserve">Fornitore 2</t>
        </is>
      </c>
      <c r="B5" t="inlineStr">
        <is>
          <t xml:space="preserve">Fornitore 2</t>
        </is>
      </c>
      <c r="C5" t="inlineStr">
        <is>
          <t xml:space="preserve">cliente2@esempio.it</t>
        </is>
      </c>
      <c r="D5" t="inlineStr">
        <is>
          <t xml:space="preserve">+39 333 1234502</t>
        </is>
      </c>
      <c r="E5" t="inlineStr">
        <is>
          <t xml:space="preserve"/>
        </is>
      </c>
    </row>
    <row r="6" ht="22" customHeight="1">
      <c r="A6" t="inlineStr">
        <is>
          <t xml:space="preserve">Fornitore 3</t>
        </is>
      </c>
      <c r="B6" t="inlineStr">
        <is>
          <t xml:space="preserve">Fornitore 3</t>
        </is>
      </c>
      <c r="C6" t="inlineStr">
        <is>
          <t xml:space="preserve">cliente3@esempio.it</t>
        </is>
      </c>
      <c r="D6" t="inlineStr">
        <is>
          <t xml:space="preserve">+39 333 1234503</t>
        </is>
      </c>
      <c r="E6" t="inlineStr">
        <is>
          <t xml:space="preserve"/>
        </is>
      </c>
    </row>
    <row r="7" ht="22" customHeight="1">
      <c r="A7" t="inlineStr">
        <is>
          <t xml:space="preserve">Fornitore 4</t>
        </is>
      </c>
      <c r="B7" t="inlineStr">
        <is>
          <t xml:space="preserve">Fornitore 4</t>
        </is>
      </c>
      <c r="C7" t="inlineStr">
        <is>
          <t xml:space="preserve">cliente4@esempio.it</t>
        </is>
      </c>
      <c r="D7" t="inlineStr">
        <is>
          <t xml:space="preserve">+39 333 1234504</t>
        </is>
      </c>
      <c r="E7" t="inlineStr">
        <is>
          <t xml:space="preserve"/>
        </is>
      </c>
    </row>
    <row r="8" ht="22" customHeight="1">
      <c r="A8" t="inlineStr">
        <is>
          <t xml:space="preserve">Fornitore 5</t>
        </is>
      </c>
      <c r="B8" t="inlineStr">
        <is>
          <t xml:space="preserve">Fornitore 5</t>
        </is>
      </c>
      <c r="C8" t="inlineStr">
        <is>
          <t xml:space="preserve">cliente5@esempio.it</t>
        </is>
      </c>
      <c r="D8" t="inlineStr">
        <is>
          <t xml:space="preserve">+39 333 1234505</t>
        </is>
      </c>
      <c r="E8" t="inlineStr">
        <is>
          <t xml:space="preserve"/>
        </is>
      </c>
    </row>
  </sheetData>
  <autoFilter ref="A3:E1000"/>
  <mergeCells count="2">
    <mergeCell ref="A1:E1"/>
    <mergeCell ref="A2:E2"/>
  </mergeCells>
  <pageMargins left="0.3" right="0.3" top="0.5" bottom="0.5" header="0.2" footer="0.2"/>
</worksheet>
</file>

<file path=xl/worksheets/sheet12.xml><?xml version="1.0" encoding="utf-8"?>
<worksheet xmlns="http://schemas.openxmlformats.org/spreadsheetml/2006/main">
  <dimension ref="A1:F1000"/>
  <sheetViews>
    <sheetView showGridLines="1" workbookViewId="0">
      <pane ySplit="3" topLeftCell="A4" activePane="bottomLeft" state="frozen"/>
    </sheetView>
  </sheetViews>
  <sheetFormatPr defaultRowHeight="18"/>
  <cols>
    <col min="1" max="1" width="24" customWidth="1"/>
    <col min="2" max="2" width="18" customWidth="1"/>
    <col min="3" max="3" width="18" customWidth="1"/>
    <col min="4" max="4" width="18" customWidth="1"/>
    <col min="5" max="5" width="15" customWidth="1"/>
    <col min="6" max="6" width="18" customWidth="1"/>
  </cols>
  <sheetData>
    <row r="1" ht="28" customHeight="1">
      <c r="A1" t="inlineStr" s="1">
        <is>
          <t xml:space="preserve">Borgo Marina · Spese</t>
        </is>
      </c>
    </row>
    <row r="2" ht="22" customHeight="1">
      <c r="A2" t="inlineStr" s="8">
        <is>
          <t xml:space="preserve">Foglio operativo · Spesa · mantieni le intestazioni della riga 3</t>
        </is>
      </c>
    </row>
    <row r="3" ht="24" customHeight="1">
      <c r="A3" t="inlineStr" s="3">
        <is>
          <t xml:space="preserve">Descrizione *</t>
        </is>
      </c>
      <c r="B3" t="inlineStr" s="3">
        <is>
          <t xml:space="preserve">Fornitore</t>
        </is>
      </c>
      <c r="C3" t="inlineStr" s="3">
        <is>
          <t xml:space="preserve">Data</t>
        </is>
      </c>
      <c r="D3" t="inlineStr" s="3">
        <is>
          <t xml:space="preserve">Categoria</t>
        </is>
      </c>
      <c r="E3" t="inlineStr" s="3">
        <is>
          <t xml:space="preserve">Importo *</t>
        </is>
      </c>
      <c r="F3" t="inlineStr" s="3">
        <is>
          <t xml:space="preserve">Pagata</t>
        </is>
      </c>
    </row>
    <row r="4" ht="22" customHeight="1">
      <c r="A4" t="inlineStr">
        <is>
          <t xml:space="preserve">Esempio operativo</t>
        </is>
      </c>
      <c r="B4" t="inlineStr">
        <is>
          <t xml:space="preserve">Spesa 1</t>
        </is>
      </c>
      <c r="C4" s="5">
        <v>46237</v>
      </c>
      <c r="D4" t="inlineStr">
        <is>
          <t xml:space="preserve">Esempio operativo</t>
        </is>
      </c>
      <c r="E4" s="4">
        <v>99</v>
      </c>
      <c r="F4" t="inlineStr" s="11">
        <is>
          <t xml:space="preserve">Sì</t>
        </is>
      </c>
    </row>
    <row r="5" ht="22" customHeight="1">
      <c r="A5" t="inlineStr">
        <is>
          <t xml:space="preserve"/>
        </is>
      </c>
      <c r="B5" t="inlineStr">
        <is>
          <t xml:space="preserve">Spesa 2</t>
        </is>
      </c>
      <c r="C5" s="5">
        <v>46238</v>
      </c>
      <c r="D5" t="inlineStr">
        <is>
          <t xml:space="preserve"/>
        </is>
      </c>
      <c r="E5" s="4">
        <v>150</v>
      </c>
      <c r="F5" t="inlineStr" s="11">
        <is>
          <t xml:space="preserve">Sì</t>
        </is>
      </c>
    </row>
    <row r="6" ht="22" customHeight="1">
      <c r="A6" t="inlineStr">
        <is>
          <t xml:space="preserve"/>
        </is>
      </c>
      <c r="B6" t="inlineStr">
        <is>
          <t xml:space="preserve">Spesa 3</t>
        </is>
      </c>
      <c r="C6" s="5">
        <v>46239</v>
      </c>
      <c r="D6" t="inlineStr">
        <is>
          <t xml:space="preserve"/>
        </is>
      </c>
      <c r="E6" s="4">
        <v>245</v>
      </c>
      <c r="F6" t="inlineStr" s="11">
        <is>
          <t xml:space="preserve">Sì</t>
        </is>
      </c>
    </row>
    <row r="7" ht="22" customHeight="1">
      <c r="A7" t="inlineStr">
        <is>
          <t xml:space="preserve"/>
        </is>
      </c>
      <c r="B7" t="inlineStr">
        <is>
          <t xml:space="preserve">Spesa 4</t>
        </is>
      </c>
      <c r="C7" s="5">
        <v>46240</v>
      </c>
      <c r="D7" t="inlineStr">
        <is>
          <t xml:space="preserve"/>
        </is>
      </c>
      <c r="E7" s="4">
        <v>480</v>
      </c>
      <c r="F7" t="inlineStr" s="11">
        <is>
          <t xml:space="preserve">No</t>
        </is>
      </c>
    </row>
    <row r="8" ht="22" customHeight="1">
      <c r="A8" t="inlineStr">
        <is>
          <t xml:space="preserve"/>
        </is>
      </c>
      <c r="B8" t="inlineStr">
        <is>
          <t xml:space="preserve">Spesa 5</t>
        </is>
      </c>
      <c r="C8" s="5">
        <v>46241</v>
      </c>
      <c r="D8" t="inlineStr">
        <is>
          <t xml:space="preserve"/>
        </is>
      </c>
      <c r="E8" s="4">
        <v>720</v>
      </c>
      <c r="F8" t="inlineStr" s="11">
        <is>
          <t xml:space="preserve">Sì</t>
        </is>
      </c>
    </row>
  </sheetData>
  <autoFilter ref="A3:F1000"/>
  <mergeCells count="2">
    <mergeCell ref="A1:F1"/>
    <mergeCell ref="A2:F2"/>
  </mergeCells>
  <dataValidations count="1">
    <dataValidation type="list" allowBlank="1" sqref="F4:F1000">
      <formula1>"Sì,No"</formula1>
    </dataValidation>
  </dataValidations>
  <pageMargins left="0.3" right="0.3" top="0.5" bottom="0.5" header="0.2" footer="0.2"/>
</worksheet>
</file>

<file path=xl/worksheets/sheet13.xml><?xml version="1.0" encoding="utf-8"?>
<worksheet xmlns="http://schemas.openxmlformats.org/spreadsheetml/2006/main">
  <dimension ref="A1:E1000"/>
  <sheetViews>
    <sheetView showGridLines="1" workbookViewId="0">
      <pane ySplit="3" topLeftCell="A4" activePane="bottomLeft" state="frozen"/>
    </sheetView>
  </sheetViews>
  <sheetFormatPr defaultRowHeight="18"/>
  <cols>
    <col min="1" max="1" width="24" customWidth="1"/>
    <col min="2" max="2" width="18" customWidth="1"/>
    <col min="3" max="3" width="18" customWidth="1"/>
    <col min="4" max="4" width="18" customWidth="1"/>
    <col min="5" max="5" width="36" customWidth="1"/>
  </cols>
  <sheetData>
    <row r="1" ht="28" customHeight="1">
      <c r="A1" t="inlineStr" s="1">
        <is>
          <t xml:space="preserve">Borgo Marina · Documenti</t>
        </is>
      </c>
    </row>
    <row r="2" ht="22" customHeight="1">
      <c r="A2" t="inlineStr" s="8">
        <is>
          <t xml:space="preserve">Foglio operativo · Documento · mantieni le intestazioni della riga 3</t>
        </is>
      </c>
    </row>
    <row r="3" ht="24" customHeight="1">
      <c r="A3" t="inlineStr" s="3">
        <is>
          <t xml:space="preserve">Nome *</t>
        </is>
      </c>
      <c r="B3" t="inlineStr" s="3">
        <is>
          <t xml:space="preserve">Categoria</t>
        </is>
      </c>
      <c r="C3" t="inlineStr" s="3">
        <is>
          <t xml:space="preserve">Scadenza</t>
        </is>
      </c>
      <c r="D3" t="inlineStr" s="3">
        <is>
          <t xml:space="preserve">Link file</t>
        </is>
      </c>
      <c r="E3" t="inlineStr" s="3">
        <is>
          <t xml:space="preserve">Note</t>
        </is>
      </c>
    </row>
    <row r="4" ht="22" customHeight="1">
      <c r="A4" t="inlineStr">
        <is>
          <t xml:space="preserve">Documento 1</t>
        </is>
      </c>
      <c r="B4" t="inlineStr">
        <is>
          <t xml:space="preserve">Esempio operativo</t>
        </is>
      </c>
      <c r="C4" s="5">
        <v>46237</v>
      </c>
      <c r="D4" t="inlineStr">
        <is>
          <t xml:space="preserve">Esempio operativo</t>
        </is>
      </c>
      <c r="E4" t="inlineStr">
        <is>
          <t xml:space="preserve">Riga dimostrativa: sostituisci o elimina prima dell’importazione.</t>
        </is>
      </c>
    </row>
    <row r="5" ht="22" customHeight="1">
      <c r="A5" t="inlineStr">
        <is>
          <t xml:space="preserve">Documento 2</t>
        </is>
      </c>
      <c r="B5" t="inlineStr">
        <is>
          <t xml:space="preserve"/>
        </is>
      </c>
      <c r="C5" s="5">
        <v>46238</v>
      </c>
      <c r="D5" t="inlineStr">
        <is>
          <t xml:space="preserve"/>
        </is>
      </c>
      <c r="E5" t="inlineStr">
        <is>
          <t xml:space="preserve"/>
        </is>
      </c>
    </row>
    <row r="6" ht="22" customHeight="1">
      <c r="A6" t="inlineStr">
        <is>
          <t xml:space="preserve">Documento 3</t>
        </is>
      </c>
      <c r="B6" t="inlineStr">
        <is>
          <t xml:space="preserve"/>
        </is>
      </c>
      <c r="C6" s="5">
        <v>46239</v>
      </c>
      <c r="D6" t="inlineStr">
        <is>
          <t xml:space="preserve"/>
        </is>
      </c>
      <c r="E6" t="inlineStr">
        <is>
          <t xml:space="preserve"/>
        </is>
      </c>
    </row>
    <row r="7" ht="22" customHeight="1">
      <c r="A7" t="inlineStr">
        <is>
          <t xml:space="preserve">Documento 4</t>
        </is>
      </c>
      <c r="B7" t="inlineStr">
        <is>
          <t xml:space="preserve"/>
        </is>
      </c>
      <c r="C7" s="5">
        <v>46240</v>
      </c>
      <c r="D7" t="inlineStr">
        <is>
          <t xml:space="preserve"/>
        </is>
      </c>
      <c r="E7" t="inlineStr">
        <is>
          <t xml:space="preserve"/>
        </is>
      </c>
    </row>
    <row r="8" ht="22" customHeight="1">
      <c r="A8" t="inlineStr">
        <is>
          <t xml:space="preserve">Documento 5</t>
        </is>
      </c>
      <c r="B8" t="inlineStr">
        <is>
          <t xml:space="preserve"/>
        </is>
      </c>
      <c r="C8" s="5">
        <v>46241</v>
      </c>
      <c r="D8" t="inlineStr">
        <is>
          <t xml:space="preserve"/>
        </is>
      </c>
      <c r="E8" t="inlineStr">
        <is>
          <t xml:space="preserve"/>
        </is>
      </c>
    </row>
  </sheetData>
  <autoFilter ref="A3:E1000"/>
  <mergeCells count="2">
    <mergeCell ref="A1:E1"/>
    <mergeCell ref="A2:E2"/>
  </mergeCells>
  <pageMargins left="0.3" right="0.3" top="0.5" bottom="0.5" header="0.2" footer="0.2"/>
</worksheet>
</file>

<file path=xl/worksheets/sheet14.xml><?xml version="1.0" encoding="utf-8"?>
<worksheet xmlns="http://schemas.openxmlformats.org/spreadsheetml/2006/main">
  <dimension ref="A1:F1000"/>
  <sheetViews>
    <sheetView showGridLines="1" workbookViewId="0">
      <pane ySplit="3" topLeftCell="A4" activePane="bottomLeft" state="frozen"/>
    </sheetView>
  </sheetViews>
  <sheetFormatPr defaultRowHeight="18"/>
  <cols>
    <col min="1" max="1" width="24" customWidth="1"/>
    <col min="2" max="2" width="18" customWidth="1"/>
    <col min="3" max="3" width="18" customWidth="1"/>
    <col min="4" max="4" width="18" customWidth="1"/>
    <col min="5" max="5" width="18" customWidth="1"/>
    <col min="6" max="6" width="36" customWidth="1"/>
  </cols>
  <sheetData>
    <row r="1" ht="28" customHeight="1">
      <c r="A1" t="inlineStr" s="1">
        <is>
          <t xml:space="preserve">Borgo Marina · Beni e attrezzature</t>
        </is>
      </c>
    </row>
    <row r="2" ht="22" customHeight="1">
      <c r="A2" t="inlineStr" s="8">
        <is>
          <t xml:space="preserve">Foglio operativo · Bene · mantieni le intestazioni della riga 3</t>
        </is>
      </c>
    </row>
    <row r="3" ht="24" customHeight="1">
      <c r="A3" t="inlineStr" s="3">
        <is>
          <t xml:space="preserve">Nome *</t>
        </is>
      </c>
      <c r="B3" t="inlineStr" s="3">
        <is>
          <t xml:space="preserve">Codice</t>
        </is>
      </c>
      <c r="C3" t="inlineStr" s="3">
        <is>
          <t xml:space="preserve">Categoria</t>
        </is>
      </c>
      <c r="D3" t="inlineStr" s="3">
        <is>
          <t xml:space="preserve">Data acquisto</t>
        </is>
      </c>
      <c r="E3" t="inlineStr" s="3">
        <is>
          <t xml:space="preserve">Stato</t>
        </is>
      </c>
      <c r="F3" t="inlineStr" s="3">
        <is>
          <t xml:space="preserve">Note</t>
        </is>
      </c>
    </row>
    <row r="4" ht="22" customHeight="1">
      <c r="A4" t="inlineStr">
        <is>
          <t xml:space="preserve">Bene 1</t>
        </is>
      </c>
      <c r="B4" t="inlineStr">
        <is>
          <t xml:space="preserve">Esempio operativo</t>
        </is>
      </c>
      <c r="C4" t="inlineStr">
        <is>
          <t xml:space="preserve">Esempio operativo</t>
        </is>
      </c>
      <c r="D4" s="5">
        <v>46237</v>
      </c>
      <c r="E4" t="inlineStr">
        <is>
          <t xml:space="preserve">Operativo</t>
        </is>
      </c>
      <c r="F4" t="inlineStr">
        <is>
          <t xml:space="preserve">Riga dimostrativa: sostituisci o elimina prima dell’importazione.</t>
        </is>
      </c>
    </row>
    <row r="5" ht="22" customHeight="1">
      <c r="A5" t="inlineStr">
        <is>
          <t xml:space="preserve">Bene 2</t>
        </is>
      </c>
      <c r="B5" t="inlineStr">
        <is>
          <t xml:space="preserve"/>
        </is>
      </c>
      <c r="C5" t="inlineStr">
        <is>
          <t xml:space="preserve"/>
        </is>
      </c>
      <c r="D5" s="5">
        <v>46238</v>
      </c>
      <c r="E5" t="inlineStr">
        <is>
          <t xml:space="preserve">In manutenzione</t>
        </is>
      </c>
      <c r="F5" t="inlineStr">
        <is>
          <t xml:space="preserve"/>
        </is>
      </c>
    </row>
    <row r="6" ht="22" customHeight="1">
      <c r="A6" t="inlineStr">
        <is>
          <t xml:space="preserve">Bene 3</t>
        </is>
      </c>
      <c r="B6" t="inlineStr">
        <is>
          <t xml:space="preserve"/>
        </is>
      </c>
      <c r="C6" t="inlineStr">
        <is>
          <t xml:space="preserve"/>
        </is>
      </c>
      <c r="D6" s="5">
        <v>46239</v>
      </c>
      <c r="E6" t="inlineStr">
        <is>
          <t xml:space="preserve">Dismesso</t>
        </is>
      </c>
      <c r="F6" t="inlineStr">
        <is>
          <t xml:space="preserve"/>
        </is>
      </c>
    </row>
    <row r="7" ht="22" customHeight="1">
      <c r="A7" t="inlineStr">
        <is>
          <t xml:space="preserve">Bene 4</t>
        </is>
      </c>
      <c r="B7" t="inlineStr">
        <is>
          <t xml:space="preserve"/>
        </is>
      </c>
      <c r="C7" t="inlineStr">
        <is>
          <t xml:space="preserve"/>
        </is>
      </c>
      <c r="D7" s="5">
        <v>46240</v>
      </c>
      <c r="E7" t="inlineStr">
        <is>
          <t xml:space="preserve">Operativo</t>
        </is>
      </c>
      <c r="F7" t="inlineStr">
        <is>
          <t xml:space="preserve"/>
        </is>
      </c>
    </row>
    <row r="8" ht="22" customHeight="1">
      <c r="A8" t="inlineStr">
        <is>
          <t xml:space="preserve">Bene 5</t>
        </is>
      </c>
      <c r="B8" t="inlineStr">
        <is>
          <t xml:space="preserve"/>
        </is>
      </c>
      <c r="C8" t="inlineStr">
        <is>
          <t xml:space="preserve"/>
        </is>
      </c>
      <c r="D8" s="5">
        <v>46241</v>
      </c>
      <c r="E8" t="inlineStr">
        <is>
          <t xml:space="preserve">In manutenzione</t>
        </is>
      </c>
      <c r="F8" t="inlineStr">
        <is>
          <t xml:space="preserve"/>
        </is>
      </c>
    </row>
  </sheetData>
  <autoFilter ref="A3:F1000"/>
  <mergeCells count="2">
    <mergeCell ref="A1:F1"/>
    <mergeCell ref="A2:F2"/>
  </mergeCells>
  <conditionalFormatting sqref="E4:E1000">
    <cfRule type="cellIs" dxfId="1" priority="2" operator="equal">
      <formula>"Dismesso"</formula>
    </cfRule>
  </conditionalFormatting>
  <dataValidations count="1">
    <dataValidation type="list" allowBlank="1" showErrorMessage="1" errorTitle="Valore non valido" error="Scegli una voce dal menu" sqref="E4:E1000">
      <formula1>"Operativo,In manutenzione,Dismesso"</formula1>
    </dataValidation>
  </dataValidations>
  <pageMargins left="0.3" right="0.3" top="0.5" bottom="0.5" header="0.2" footer="0.2"/>
</worksheet>
</file>

<file path=xl/worksheets/sheet15.xml><?xml version="1.0" encoding="utf-8"?>
<worksheet xmlns="http://schemas.openxmlformats.org/spreadsheetml/2006/main">
  <dimension ref="A1:F1000"/>
  <sheetViews>
    <sheetView showGridLines="1" workbookViewId="0">
      <pane ySplit="3" topLeftCell="A4" activePane="bottomLeft" state="frozen"/>
    </sheetView>
  </sheetViews>
  <sheetFormatPr defaultRowHeight="18"/>
  <cols>
    <col min="1" max="1" width="24" customWidth="1"/>
    <col min="2" max="2" width="18" customWidth="1"/>
    <col min="3" max="3" width="18" customWidth="1"/>
    <col min="4" max="4" width="18" customWidth="1"/>
    <col min="5" max="5" width="15" customWidth="1"/>
    <col min="6" max="6" width="36" customWidth="1"/>
  </cols>
  <sheetData>
    <row r="1" ht="28" customHeight="1">
      <c r="A1" t="inlineStr" s="1">
        <is>
          <t xml:space="preserve">Borgo Marina · Manutenzioni</t>
        </is>
      </c>
    </row>
    <row r="2" ht="22" customHeight="1">
      <c r="A2" t="inlineStr" s="8">
        <is>
          <t xml:space="preserve">Foglio operativo · Manutenzione · mantieni le intestazioni della riga 3</t>
        </is>
      </c>
    </row>
    <row r="3" ht="24" customHeight="1">
      <c r="A3" t="inlineStr" s="3">
        <is>
          <t xml:space="preserve">Bene *</t>
        </is>
      </c>
      <c r="B3" t="inlineStr" s="3">
        <is>
          <t xml:space="preserve">Data</t>
        </is>
      </c>
      <c r="C3" t="inlineStr" s="3">
        <is>
          <t xml:space="preserve">Tipo</t>
        </is>
      </c>
      <c r="D3" t="inlineStr" s="3">
        <is>
          <t xml:space="preserve">Stato</t>
        </is>
      </c>
      <c r="E3" t="inlineStr" s="3">
        <is>
          <t xml:space="preserve">Costo</t>
        </is>
      </c>
      <c r="F3" t="inlineStr" s="3">
        <is>
          <t xml:space="preserve">Note</t>
        </is>
      </c>
    </row>
    <row r="4" ht="22" customHeight="1">
      <c r="A4" t="inlineStr">
        <is>
          <t xml:space="preserve">Manutenzione 1</t>
        </is>
      </c>
      <c r="B4" s="5">
        <v>46237</v>
      </c>
      <c r="C4" t="inlineStr">
        <is>
          <t xml:space="preserve">Ordinaria</t>
        </is>
      </c>
      <c r="D4" t="inlineStr">
        <is>
          <t xml:space="preserve">Pianificata</t>
        </is>
      </c>
      <c r="E4" s="4">
        <v>99</v>
      </c>
      <c r="F4" t="inlineStr">
        <is>
          <t xml:space="preserve">Riga dimostrativa: sostituisci o elimina prima dell’importazione.</t>
        </is>
      </c>
    </row>
    <row r="5" ht="22" customHeight="1">
      <c r="A5" t="inlineStr">
        <is>
          <t xml:space="preserve">Manutenzione 2</t>
        </is>
      </c>
      <c r="B5" s="5">
        <v>46238</v>
      </c>
      <c r="C5" t="inlineStr">
        <is>
          <t xml:space="preserve">Straordinaria</t>
        </is>
      </c>
      <c r="D5" t="inlineStr">
        <is>
          <t xml:space="preserve">In corso</t>
        </is>
      </c>
      <c r="E5" s="4">
        <v>150</v>
      </c>
      <c r="F5" t="inlineStr">
        <is>
          <t xml:space="preserve"/>
        </is>
      </c>
    </row>
    <row r="6" ht="22" customHeight="1">
      <c r="A6" t="inlineStr">
        <is>
          <t xml:space="preserve">Manutenzione 3</t>
        </is>
      </c>
      <c r="B6" s="5">
        <v>46239</v>
      </c>
      <c r="C6" t="inlineStr">
        <is>
          <t xml:space="preserve">Controllo</t>
        </is>
      </c>
      <c r="D6" t="inlineStr">
        <is>
          <t xml:space="preserve">Completata</t>
        </is>
      </c>
      <c r="E6" s="4">
        <v>245</v>
      </c>
      <c r="F6" t="inlineStr">
        <is>
          <t xml:space="preserve"/>
        </is>
      </c>
    </row>
    <row r="7" ht="22" customHeight="1">
      <c r="A7" t="inlineStr">
        <is>
          <t xml:space="preserve">Manutenzione 4</t>
        </is>
      </c>
      <c r="B7" s="5">
        <v>46240</v>
      </c>
      <c r="C7" t="inlineStr">
        <is>
          <t xml:space="preserve">Ordinaria</t>
        </is>
      </c>
      <c r="D7" t="inlineStr">
        <is>
          <t xml:space="preserve">Pianificata</t>
        </is>
      </c>
      <c r="E7" s="4">
        <v>480</v>
      </c>
      <c r="F7" t="inlineStr">
        <is>
          <t xml:space="preserve"/>
        </is>
      </c>
    </row>
    <row r="8" ht="22" customHeight="1">
      <c r="A8" t="inlineStr">
        <is>
          <t xml:space="preserve">Manutenzione 5</t>
        </is>
      </c>
      <c r="B8" s="5">
        <v>46241</v>
      </c>
      <c r="C8" t="inlineStr">
        <is>
          <t xml:space="preserve">Straordinaria</t>
        </is>
      </c>
      <c r="D8" t="inlineStr">
        <is>
          <t xml:space="preserve">In corso</t>
        </is>
      </c>
      <c r="E8" s="4">
        <v>720</v>
      </c>
      <c r="F8" t="inlineStr">
        <is>
          <t xml:space="preserve"/>
        </is>
      </c>
    </row>
  </sheetData>
  <autoFilter ref="A3:F1000"/>
  <mergeCells count="2">
    <mergeCell ref="A1:F1"/>
    <mergeCell ref="A2:F2"/>
  </mergeCells>
  <conditionalFormatting sqref="D4:D1000">
    <cfRule type="cellIs" dxfId="0" priority="1" operator="equal">
      <formula>"Completata"</formula>
    </cfRule>
    <cfRule type="cellIs" dxfId="2" priority="3" operator="equal">
      <formula>"Pianificata"</formula>
    </cfRule>
  </conditionalFormatting>
  <dataValidations count="2">
    <dataValidation type="list" allowBlank="1" showErrorMessage="1" errorTitle="Valore non valido" error="Scegli una voce dal menu" sqref="C4:C1000">
      <formula1>"Ordinaria,Straordinaria,Controllo"</formula1>
    </dataValidation>
    <dataValidation type="list" allowBlank="1" showErrorMessage="1" errorTitle="Valore non valido" error="Scegli una voce dal menu" sqref="D4:D1000">
      <formula1>"Pianificata,In corso,Completata"</formula1>
    </dataValidation>
  </dataValidations>
  <pageMargins left="0.3" right="0.3" top="0.5" bottom="0.5" header="0.2" footer="0.2"/>
</worksheet>
</file>

<file path=xl/worksheets/sheet16.xml><?xml version="1.0" encoding="utf-8"?>
<worksheet xmlns="http://schemas.openxmlformats.org/spreadsheetml/2006/main">
  <dimension ref="A1:F1000"/>
  <sheetViews>
    <sheetView showGridLines="1" workbookViewId="0">
      <pane ySplit="3" topLeftCell="A4" activePane="bottomLeft" state="frozen"/>
    </sheetView>
  </sheetViews>
  <sheetFormatPr defaultRowHeight="18"/>
  <cols>
    <col min="1" max="1" width="24" customWidth="1"/>
    <col min="2" max="2" width="18" customWidth="1"/>
    <col min="3" max="3" width="25" customWidth="1"/>
    <col min="4" max="4" width="18" customWidth="1"/>
    <col min="5" max="5" width="36" customWidth="1"/>
    <col min="6" max="6" width="18" customWidth="1"/>
  </cols>
  <sheetData>
    <row r="1" ht="28" customHeight="1">
      <c r="A1" t="inlineStr" s="1">
        <is>
          <t xml:space="preserve">Borgo Marina · Richieste dal sito</t>
        </is>
      </c>
    </row>
    <row r="2" ht="22" customHeight="1">
      <c r="A2" t="inlineStr" s="8">
        <is>
          <t xml:space="preserve">Foglio operativo · Richiesta · mantieni le intestazioni della riga 3</t>
        </is>
      </c>
    </row>
    <row r="3" ht="24" customHeight="1">
      <c r="A3" t="inlineStr" s="3">
        <is>
          <t xml:space="preserve">Tipo richiesta</t>
        </is>
      </c>
      <c r="B3" t="inlineStr" s="3">
        <is>
          <t xml:space="preserve">Nome *</t>
        </is>
      </c>
      <c r="C3" t="inlineStr" s="3">
        <is>
          <t xml:space="preserve">Email *</t>
        </is>
      </c>
      <c r="D3" t="inlineStr" s="3">
        <is>
          <t xml:space="preserve">Telefono</t>
        </is>
      </c>
      <c r="E3" t="inlineStr" s="3">
        <is>
          <t xml:space="preserve">Messaggio</t>
        </is>
      </c>
      <c r="F3" t="inlineStr" s="3">
        <is>
          <t xml:space="preserve">Stato</t>
        </is>
      </c>
    </row>
    <row r="4" ht="22" customHeight="1">
      <c r="A4" t="inlineStr">
        <is>
          <t xml:space="preserve">Esempio operativo</t>
        </is>
      </c>
      <c r="B4" t="inlineStr">
        <is>
          <t xml:space="preserve">Richiesta 1</t>
        </is>
      </c>
      <c r="C4" t="inlineStr">
        <is>
          <t xml:space="preserve">cliente1@esempio.it</t>
        </is>
      </c>
      <c r="D4" t="inlineStr">
        <is>
          <t xml:space="preserve">+39 333 1234501</t>
        </is>
      </c>
      <c r="E4" t="inlineStr">
        <is>
          <t xml:space="preserve">Esempio operativo</t>
        </is>
      </c>
      <c r="F4" t="inlineStr">
        <is>
          <t xml:space="preserve">Nuova</t>
        </is>
      </c>
    </row>
    <row r="5" ht="22" customHeight="1">
      <c r="A5" t="inlineStr">
        <is>
          <t xml:space="preserve"/>
        </is>
      </c>
      <c r="B5" t="inlineStr">
        <is>
          <t xml:space="preserve">Richiesta 2</t>
        </is>
      </c>
      <c r="C5" t="inlineStr">
        <is>
          <t xml:space="preserve">cliente2@esempio.it</t>
        </is>
      </c>
      <c r="D5" t="inlineStr">
        <is>
          <t xml:space="preserve">+39 333 1234502</t>
        </is>
      </c>
      <c r="E5" t="inlineStr">
        <is>
          <t xml:space="preserve"/>
        </is>
      </c>
      <c r="F5" t="inlineStr">
        <is>
          <t xml:space="preserve">Contattata</t>
        </is>
      </c>
    </row>
    <row r="6" ht="22" customHeight="1">
      <c r="A6" t="inlineStr">
        <is>
          <t xml:space="preserve"/>
        </is>
      </c>
      <c r="B6" t="inlineStr">
        <is>
          <t xml:space="preserve">Richiesta 3</t>
        </is>
      </c>
      <c r="C6" t="inlineStr">
        <is>
          <t xml:space="preserve">cliente3@esempio.it</t>
        </is>
      </c>
      <c r="D6" t="inlineStr">
        <is>
          <t xml:space="preserve">+39 333 1234503</t>
        </is>
      </c>
      <c r="E6" t="inlineStr">
        <is>
          <t xml:space="preserve"/>
        </is>
      </c>
      <c r="F6" t="inlineStr">
        <is>
          <t xml:space="preserve">Chiusa</t>
        </is>
      </c>
    </row>
    <row r="7" ht="22" customHeight="1">
      <c r="A7" t="inlineStr">
        <is>
          <t xml:space="preserve"/>
        </is>
      </c>
      <c r="B7" t="inlineStr">
        <is>
          <t xml:space="preserve">Richiesta 4</t>
        </is>
      </c>
      <c r="C7" t="inlineStr">
        <is>
          <t xml:space="preserve">cliente4@esempio.it</t>
        </is>
      </c>
      <c r="D7" t="inlineStr">
        <is>
          <t xml:space="preserve">+39 333 1234504</t>
        </is>
      </c>
      <c r="E7" t="inlineStr">
        <is>
          <t xml:space="preserve"/>
        </is>
      </c>
      <c r="F7" t="inlineStr">
        <is>
          <t xml:space="preserve">Nuova</t>
        </is>
      </c>
    </row>
    <row r="8" ht="22" customHeight="1">
      <c r="A8" t="inlineStr">
        <is>
          <t xml:space="preserve"/>
        </is>
      </c>
      <c r="B8" t="inlineStr">
        <is>
          <t xml:space="preserve">Richiesta 5</t>
        </is>
      </c>
      <c r="C8" t="inlineStr">
        <is>
          <t xml:space="preserve">cliente5@esempio.it</t>
        </is>
      </c>
      <c r="D8" t="inlineStr">
        <is>
          <t xml:space="preserve">+39 333 1234505</t>
        </is>
      </c>
      <c r="E8" t="inlineStr">
        <is>
          <t xml:space="preserve"/>
        </is>
      </c>
      <c r="F8" t="inlineStr">
        <is>
          <t xml:space="preserve">Contattata</t>
        </is>
      </c>
    </row>
  </sheetData>
  <autoFilter ref="A3:F1000"/>
  <mergeCells count="2">
    <mergeCell ref="A1:F1"/>
    <mergeCell ref="A2:F2"/>
  </mergeCells>
  <conditionalFormatting sqref="F4:F1000">
    <cfRule type="cellIs" dxfId="0" priority="1" operator="equal">
      <formula>"Chiusa"</formula>
    </cfRule>
  </conditionalFormatting>
  <dataValidations count="1">
    <dataValidation type="list" allowBlank="1" showErrorMessage="1" errorTitle="Valore non valido" error="Scegli una voce dal menu" sqref="F4:F1000">
      <formula1>"Nuova,Contattata,Chiusa"</formula1>
    </dataValidation>
  </dataValidations>
  <pageMargins left="0.3" right="0.3" top="0.5" bottom="0.5" header="0.2" footer="0.2"/>
</worksheet>
</file>

<file path=xl/worksheets/sheet17.xml><?xml version="1.0" encoding="utf-8"?>
<worksheet xmlns="http://schemas.openxmlformats.org/spreadsheetml/2006/main">
  <dimension ref="A1:F1000"/>
  <sheetViews>
    <sheetView showGridLines="1" workbookViewId="0">
      <pane ySplit="3" topLeftCell="A4" activePane="bottomLeft" state="frozen"/>
    </sheetView>
  </sheetViews>
  <sheetFormatPr defaultRowHeight="18"/>
  <cols>
    <col min="1" max="1" width="24" customWidth="1"/>
    <col min="2" max="2" width="18" customWidth="1"/>
    <col min="3" max="3" width="21" customWidth="1"/>
    <col min="4" max="4" width="18" customWidth="1"/>
    <col min="5" max="5" width="18" customWidth="1"/>
    <col min="6" max="6" width="36" customWidth="1"/>
  </cols>
  <sheetData>
    <row r="1" ht="28" customHeight="1">
      <c r="A1" t="inlineStr" s="1">
        <is>
          <t xml:space="preserve">Borgo Marina · Check-in</t>
        </is>
      </c>
    </row>
    <row r="2" ht="22" customHeight="1">
      <c r="A2" t="inlineStr" s="8">
        <is>
          <t xml:space="preserve">Foglio operativo · Check-in · mantieni le intestazioni della riga 3</t>
        </is>
      </c>
    </row>
    <row r="3" ht="24" customHeight="1">
      <c r="A3" t="inlineStr" s="3">
        <is>
          <t xml:space="preserve">Ospite *</t>
        </is>
      </c>
      <c r="B3" t="inlineStr" s="3">
        <is>
          <t xml:space="preserve">Prenotazione *</t>
        </is>
      </c>
      <c r="C3" t="inlineStr" s="3">
        <is>
          <t xml:space="preserve">Arrivo *</t>
        </is>
      </c>
      <c r="D3" t="inlineStr" s="3">
        <is>
          <t xml:space="preserve">Documenti</t>
        </is>
      </c>
      <c r="E3" t="inlineStr" s="3">
        <is>
          <t xml:space="preserve">Pagamento</t>
        </is>
      </c>
      <c r="F3" t="inlineStr" s="3">
        <is>
          <t xml:space="preserve">Note</t>
        </is>
      </c>
    </row>
    <row r="4" ht="22" customHeight="1">
      <c r="A4" t="inlineStr">
        <is>
          <t xml:space="preserve">Check-in 1</t>
        </is>
      </c>
      <c r="B4" t="inlineStr">
        <is>
          <t xml:space="preserve">2026-001</t>
        </is>
      </c>
      <c r="C4" s="6">
        <v>46237.375</v>
      </c>
      <c r="D4" t="inlineStr">
        <is>
          <t xml:space="preserve">Da ricevere</t>
        </is>
      </c>
      <c r="E4" t="inlineStr">
        <is>
          <t xml:space="preserve">Da saldare</t>
        </is>
      </c>
      <c r="F4" t="inlineStr">
        <is>
          <t xml:space="preserve">Riga dimostrativa: sostituisci o elimina prima dell’importazione.</t>
        </is>
      </c>
    </row>
    <row r="5" ht="22" customHeight="1">
      <c r="A5" t="inlineStr">
        <is>
          <t xml:space="preserve">Check-in 2</t>
        </is>
      </c>
      <c r="B5" t="inlineStr">
        <is>
          <t xml:space="preserve">2026-002</t>
        </is>
      </c>
      <c r="C5" s="6">
        <v>46238.416666666664</v>
      </c>
      <c r="D5" t="inlineStr">
        <is>
          <t xml:space="preserve">Completi</t>
        </is>
      </c>
      <c r="E5" t="inlineStr">
        <is>
          <t xml:space="preserve">Caparra</t>
        </is>
      </c>
      <c r="F5" t="inlineStr">
        <is>
          <t xml:space="preserve"/>
        </is>
      </c>
    </row>
    <row r="6" ht="22" customHeight="1">
      <c r="A6" t="inlineStr">
        <is>
          <t xml:space="preserve">Check-in 3</t>
        </is>
      </c>
      <c r="B6" t="inlineStr">
        <is>
          <t xml:space="preserve">2026-003</t>
        </is>
      </c>
      <c r="C6" s="6">
        <v>46239.458333333336</v>
      </c>
      <c r="D6" t="inlineStr">
        <is>
          <t xml:space="preserve">Verificati</t>
        </is>
      </c>
      <c r="E6" t="inlineStr">
        <is>
          <t xml:space="preserve">Saldato</t>
        </is>
      </c>
      <c r="F6" t="inlineStr">
        <is>
          <t xml:space="preserve"/>
        </is>
      </c>
    </row>
    <row r="7" ht="22" customHeight="1">
      <c r="A7" t="inlineStr">
        <is>
          <t xml:space="preserve">Check-in 4</t>
        </is>
      </c>
      <c r="B7" t="inlineStr">
        <is>
          <t xml:space="preserve">2026-004</t>
        </is>
      </c>
      <c r="C7" s="6">
        <v>46240.5</v>
      </c>
      <c r="D7" t="inlineStr">
        <is>
          <t xml:space="preserve">Da ricevere</t>
        </is>
      </c>
      <c r="E7" t="inlineStr">
        <is>
          <t xml:space="preserve">Da saldare</t>
        </is>
      </c>
      <c r="F7" t="inlineStr">
        <is>
          <t xml:space="preserve"/>
        </is>
      </c>
    </row>
    <row r="8" ht="22" customHeight="1">
      <c r="A8" t="inlineStr">
        <is>
          <t xml:space="preserve">Check-in 5</t>
        </is>
      </c>
      <c r="B8" t="inlineStr">
        <is>
          <t xml:space="preserve">2026-005</t>
        </is>
      </c>
      <c r="C8" s="6">
        <v>46241.541666666664</v>
      </c>
      <c r="D8" t="inlineStr">
        <is>
          <t xml:space="preserve">Completi</t>
        </is>
      </c>
      <c r="E8" t="inlineStr">
        <is>
          <t xml:space="preserve">Caparra</t>
        </is>
      </c>
      <c r="F8" t="inlineStr">
        <is>
          <t xml:space="preserve"/>
        </is>
      </c>
    </row>
  </sheetData>
  <autoFilter ref="A3:F1000"/>
  <mergeCells count="2">
    <mergeCell ref="A1:F1"/>
    <mergeCell ref="A2:F2"/>
  </mergeCells>
  <conditionalFormatting sqref="D4:D1000">
    <cfRule type="cellIs" dxfId="0" priority="1" operator="equal">
      <formula>"Completi"</formula>
    </cfRule>
  </conditionalFormatting>
  <dataValidations count="2">
    <dataValidation type="list" allowBlank="1" showErrorMessage="1" errorTitle="Valore non valido" error="Scegli una voce dal menu" sqref="D4:D1000">
      <formula1>"Da ricevere,Completi,Verificati"</formula1>
    </dataValidation>
    <dataValidation type="list" allowBlank="1" showErrorMessage="1" errorTitle="Valore non valido" error="Scegli una voce dal menu" sqref="E4:E1000">
      <formula1>"Da saldare,Caparra,Saldato"</formula1>
    </dataValidation>
  </dataValidations>
  <pageMargins left="0.3" right="0.3" top="0.5" bottom="0.5" header="0.2" footer="0.2"/>
</worksheet>
</file>

<file path=xl/worksheets/sheet18.xml><?xml version="1.0" encoding="utf-8"?>
<worksheet xmlns="http://schemas.openxmlformats.org/spreadsheetml/2006/main">
  <dimension ref="A1:F1000"/>
  <sheetViews>
    <sheetView showGridLines="1" workbookViewId="0">
      <pane ySplit="3" topLeftCell="A4" activePane="bottomLeft" state="frozen"/>
    </sheetView>
  </sheetViews>
  <sheetFormatPr defaultRowHeight="18"/>
  <cols>
    <col min="1" max="1" width="24" customWidth="1"/>
    <col min="2" max="2" width="18" customWidth="1"/>
    <col min="3" max="3" width="18" customWidth="1"/>
    <col min="4" max="4" width="15" customWidth="1"/>
    <col min="5" max="5" width="18" customWidth="1"/>
    <col min="6" max="6" width="36" customWidth="1"/>
  </cols>
  <sheetData>
    <row r="1" ht="28" customHeight="1">
      <c r="A1" t="inlineStr" s="1">
        <is>
          <t xml:space="preserve">Borgo Marina · Cassa giornaliera</t>
        </is>
      </c>
    </row>
    <row r="2" ht="22" customHeight="1">
      <c r="A2" t="inlineStr" s="8">
        <is>
          <t xml:space="preserve">Foglio operativo · Movimento · mantieni le intestazioni della riga 3</t>
        </is>
      </c>
    </row>
    <row r="3" ht="24" customHeight="1">
      <c r="A3" t="inlineStr" s="3">
        <is>
          <t xml:space="preserve">Data *</t>
        </is>
      </c>
      <c r="B3" t="inlineStr" s="3">
        <is>
          <t xml:space="preserve">Descrizione *</t>
        </is>
      </c>
      <c r="C3" t="inlineStr" s="3">
        <is>
          <t xml:space="preserve">Categoria</t>
        </is>
      </c>
      <c r="D3" t="inlineStr" s="3">
        <is>
          <t xml:space="preserve">Importo *</t>
        </is>
      </c>
      <c r="E3" t="inlineStr" s="3">
        <is>
          <t xml:space="preserve">Metodo</t>
        </is>
      </c>
      <c r="F3" t="inlineStr" s="3">
        <is>
          <t xml:space="preserve">Note</t>
        </is>
      </c>
    </row>
    <row r="4" ht="22" customHeight="1">
      <c r="A4" s="5">
        <v>46237</v>
      </c>
      <c r="B4" t="inlineStr">
        <is>
          <t xml:space="preserve">Esempio operativo</t>
        </is>
      </c>
      <c r="C4" t="inlineStr">
        <is>
          <t xml:space="preserve">Incasso</t>
        </is>
      </c>
      <c r="D4" s="4">
        <v>99</v>
      </c>
      <c r="E4" t="inlineStr">
        <is>
          <t xml:space="preserve">Contanti</t>
        </is>
      </c>
      <c r="F4" t="inlineStr">
        <is>
          <t xml:space="preserve">Riga dimostrativa: sostituisci o elimina prima dell’importazione.</t>
        </is>
      </c>
    </row>
    <row r="5" ht="22" customHeight="1">
      <c r="A5" s="5">
        <v>46238</v>
      </c>
      <c r="B5" t="inlineStr">
        <is>
          <t xml:space="preserve"/>
        </is>
      </c>
      <c r="C5" t="inlineStr">
        <is>
          <t xml:space="preserve">Spesa</t>
        </is>
      </c>
      <c r="D5" s="4">
        <v>150</v>
      </c>
      <c r="E5" t="inlineStr">
        <is>
          <t xml:space="preserve">Carta</t>
        </is>
      </c>
      <c r="F5" t="inlineStr">
        <is>
          <t xml:space="preserve"/>
        </is>
      </c>
    </row>
    <row r="6" ht="22" customHeight="1">
      <c r="A6" s="5">
        <v>46239</v>
      </c>
      <c r="B6" t="inlineStr">
        <is>
          <t xml:space="preserve"/>
        </is>
      </c>
      <c r="C6" t="inlineStr">
        <is>
          <t xml:space="preserve">Caparra</t>
        </is>
      </c>
      <c r="D6" s="4">
        <v>245</v>
      </c>
      <c r="E6" t="inlineStr">
        <is>
          <t xml:space="preserve">Bonifico</t>
        </is>
      </c>
      <c r="F6" t="inlineStr">
        <is>
          <t xml:space="preserve"/>
        </is>
      </c>
    </row>
    <row r="7" ht="22" customHeight="1">
      <c r="A7" s="5">
        <v>46240</v>
      </c>
      <c r="B7" t="inlineStr">
        <is>
          <t xml:space="preserve"/>
        </is>
      </c>
      <c r="C7" t="inlineStr">
        <is>
          <t xml:space="preserve">Rimborso</t>
        </is>
      </c>
      <c r="D7" s="4">
        <v>480</v>
      </c>
      <c r="E7" t="inlineStr">
        <is>
          <t xml:space="preserve">Contanti</t>
        </is>
      </c>
      <c r="F7" t="inlineStr">
        <is>
          <t xml:space="preserve"/>
        </is>
      </c>
    </row>
    <row r="8" ht="22" customHeight="1">
      <c r="A8" s="5">
        <v>46241</v>
      </c>
      <c r="B8" t="inlineStr">
        <is>
          <t xml:space="preserve"/>
        </is>
      </c>
      <c r="C8" t="inlineStr">
        <is>
          <t xml:space="preserve">Incasso</t>
        </is>
      </c>
      <c r="D8" s="4">
        <v>720</v>
      </c>
      <c r="E8" t="inlineStr">
        <is>
          <t xml:space="preserve">Carta</t>
        </is>
      </c>
      <c r="F8" t="inlineStr">
        <is>
          <t xml:space="preserve"/>
        </is>
      </c>
    </row>
  </sheetData>
  <autoFilter ref="A3:F1000"/>
  <mergeCells count="2">
    <mergeCell ref="A1:F1"/>
    <mergeCell ref="A2:F2"/>
  </mergeCells>
  <dataValidations count="2">
    <dataValidation type="list" allowBlank="1" showErrorMessage="1" errorTitle="Valore non valido" error="Scegli una voce dal menu" sqref="C4:C1000">
      <formula1>"Incasso,Spesa,Caparra,Rimborso"</formula1>
    </dataValidation>
    <dataValidation type="list" allowBlank="1" showErrorMessage="1" errorTitle="Valore non valido" error="Scegli una voce dal menu" sqref="E4:E1000">
      <formula1>"Contanti,Carta,Bonifico"</formula1>
    </dataValidation>
  </dataValidations>
  <pageMargins left="0.3" right="0.3" top="0.5" bottom="0.5" header="0.2" footer="0.2"/>
</worksheet>
</file>